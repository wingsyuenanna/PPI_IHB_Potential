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020" tabRatio="500" firstSheet="0" activeTab="3" autoFilterDateGrouping="1"/>
  </bookViews>
  <sheets>
    <sheet name="README" sheetId="1" state="visible" r:id="rId1"/>
    <sheet name="Parameters" sheetId="2" state="visible" r:id="rId2"/>
    <sheet name="Fossil_Shares" sheetId="3" state="visible" r:id="rId3"/>
    <sheet name="Facilities" sheetId="4" state="visible" r:id="rId4"/>
    <sheet name="Country_Summary" sheetId="5" state="visible" r:id="rId5"/>
  </sheets>
  <definedNames>
    <definedName name="_xlnm._FilterDatabase" localSheetId="3" hidden="1">'Facilities'!$A$2:$Q$90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5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1A1A2E"/>
      <sz val="9"/>
    </font>
    <font>
      <name val="Arial"/>
      <family val="2"/>
      <sz val="9"/>
    </font>
    <font>
      <name val="Arial"/>
      <family val="2"/>
      <b val="1"/>
      <color rgb="FF1A1A2E"/>
      <sz val="10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9"/>
    </font>
    <font>
      <name val="Arial"/>
      <family val="2"/>
      <b val="1"/>
      <sz val="9"/>
    </font>
    <font>
      <name val="Arial"/>
      <family val="2"/>
      <i val="1"/>
      <color rgb="FF888888"/>
      <sz val="9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rgb="FF999999"/>
      <sz val="8"/>
    </font>
    <font>
      <name val="Arial"/>
      <family val="2"/>
      <b val="1"/>
      <color rgb="FFFFFFFF"/>
      <sz val="12"/>
    </font>
    <font>
      <name val="Arial"/>
      <family val="2"/>
      <color rgb="FFCCCCCC"/>
      <sz val="8"/>
    </font>
    <font>
      <name val="Arial"/>
      <family val="2"/>
      <b val="1"/>
      <sz val="10"/>
    </font>
  </fonts>
  <fills count="22">
    <fill>
      <patternFill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5F5F5"/>
        <bgColor rgb="FFFFF8E1"/>
      </patternFill>
    </fill>
    <fill>
      <patternFill patternType="solid">
        <fgColor rgb="FFFFFFFF"/>
        <bgColor rgb="FFF5F5F5"/>
      </patternFill>
    </fill>
    <fill>
      <patternFill patternType="solid">
        <fgColor rgb="FFE8E8F0"/>
        <bgColor rgb="FFD9E8F5"/>
      </patternFill>
    </fill>
    <fill>
      <patternFill patternType="solid">
        <fgColor rgb="FF0F3460"/>
        <bgColor rgb="FF1A1A2E"/>
      </patternFill>
    </fill>
    <fill>
      <patternFill patternType="solid">
        <fgColor rgb="FFFFF8E1"/>
        <bgColor rgb="FFFFF3CD"/>
      </patternFill>
    </fill>
    <fill>
      <patternFill patternType="solid">
        <fgColor rgb="FFE9C46A"/>
        <bgColor rgb="FFCCCCCC"/>
      </patternFill>
    </fill>
    <fill>
      <patternFill patternType="solid">
        <fgColor rgb="FFFFF3CD"/>
        <bgColor rgb="FFFFF8E1"/>
      </patternFill>
    </fill>
    <fill>
      <patternFill patternType="solid">
        <fgColor rgb="FFC8F7C5"/>
        <bgColor rgb="FFB7E4C7"/>
      </patternFill>
    </fill>
    <fill>
      <patternFill patternType="solid">
        <fgColor rgb="FFB7E4C7"/>
        <bgColor rgb="FFADE8F4"/>
      </patternFill>
    </fill>
    <fill>
      <patternFill patternType="solid">
        <fgColor rgb="FFADE8F4"/>
        <bgColor rgb="FFB7E4C7"/>
      </patternFill>
    </fill>
    <fill>
      <patternFill patternType="solid">
        <fgColor rgb="FFFFCFD2"/>
        <bgColor rgb="FFFDDCDC"/>
      </patternFill>
    </fill>
    <fill>
      <patternFill patternType="solid">
        <fgColor rgb="FFF0E0E0"/>
        <bgColor rgb="FFFDDCDC"/>
      </patternFill>
    </fill>
    <fill>
      <patternFill patternType="solid">
        <fgColor rgb="FFFDDCDC"/>
        <bgColor rgb="FFF0E0E0"/>
      </patternFill>
    </fill>
    <fill>
      <patternFill patternType="solid">
        <fgColor rgb="FFD9E8F5"/>
        <bgColor rgb="FFE8E8F0"/>
      </patternFill>
    </fill>
    <fill>
      <patternFill patternType="solid">
        <fgColor theme="5" tint="0.7999816888943144"/>
        <bgColor rgb="FFF5F5F5"/>
      </patternFill>
    </fill>
    <fill>
      <patternFill patternType="solid">
        <fgColor theme="5" tint="0.7999816888943144"/>
        <bgColor rgb="FFADE8F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rgb="FFB7E4C7"/>
      </patternFill>
    </fill>
    <fill>
      <patternFill patternType="solid">
        <fgColor rgb="FFC8F8C5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7" fillId="7" borderId="1" pivotButton="0" quotePrefix="0" xfId="0"/>
    <xf numFmtId="165" fontId="7" fillId="7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1" pivotButton="0" quotePrefix="0" xfId="0"/>
    <xf numFmtId="3" fontId="10" fillId="3" borderId="1" pivotButton="0" quotePrefix="0" xfId="0"/>
    <xf numFmtId="165" fontId="9" fillId="3" borderId="1" pivotButton="0" quotePrefix="0" xfId="0"/>
    <xf numFmtId="0" fontId="11" fillId="3" borderId="1" pivotButton="0" quotePrefix="0" xfId="0"/>
    <xf numFmtId="0" fontId="10" fillId="0" borderId="0" pivotButton="0" quotePrefix="0" xfId="0"/>
    <xf numFmtId="0" fontId="10" fillId="4" borderId="1" pivotButton="0" quotePrefix="0" xfId="0"/>
    <xf numFmtId="3" fontId="10" fillId="4" borderId="1" pivotButton="0" quotePrefix="0" xfId="0"/>
    <xf numFmtId="165" fontId="9" fillId="4" borderId="1" pivotButton="0" quotePrefix="0" xfId="0"/>
    <xf numFmtId="0" fontId="11" fillId="4" borderId="1" pivotButton="0" quotePrefix="0" xfId="0"/>
    <xf numFmtId="165" fontId="10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0" fontId="10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/>
    </xf>
    <xf numFmtId="3" fontId="10" fillId="14" borderId="1" applyAlignment="1" pivotButton="0" quotePrefix="0" xfId="0">
      <alignment horizontal="center" vertical="center"/>
    </xf>
    <xf numFmtId="165" fontId="10" fillId="14" borderId="1" applyAlignment="1" pivotButton="0" quotePrefix="0" xfId="0">
      <alignment horizontal="center" vertical="center"/>
    </xf>
    <xf numFmtId="164" fontId="10" fillId="14" borderId="1" applyAlignment="1" pivotButton="0" quotePrefix="0" xfId="0">
      <alignment horizontal="center" vertical="center"/>
    </xf>
    <xf numFmtId="3" fontId="9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 wrapText="1"/>
    </xf>
    <xf numFmtId="0" fontId="3" fillId="3" borderId="1" pivotButton="0" quotePrefix="0" xfId="0"/>
    <xf numFmtId="166" fontId="3" fillId="3" borderId="1" pivotButton="0" quotePrefix="0" xfId="0"/>
    <xf numFmtId="165" fontId="3" fillId="3" borderId="1" pivotButton="0" quotePrefix="0" xfId="0"/>
    <xf numFmtId="2" fontId="3" fillId="3" borderId="1" pivotButton="0" quotePrefix="0" xfId="0"/>
    <xf numFmtId="0" fontId="3" fillId="4" borderId="1" pivotButton="0" quotePrefix="0" xfId="0"/>
    <xf numFmtId="166" fontId="3" fillId="4" borderId="1" pivotButton="0" quotePrefix="0" xfId="0"/>
    <xf numFmtId="165" fontId="3" fillId="4" borderId="1" pivotButton="0" quotePrefix="0" xfId="0"/>
    <xf numFmtId="2" fontId="3" fillId="4" borderId="1" pivotButton="0" quotePrefix="0" xfId="0"/>
    <xf numFmtId="0" fontId="14" fillId="16" borderId="1" pivotButton="0" quotePrefix="0" xfId="0"/>
    <xf numFmtId="166" fontId="14" fillId="16" borderId="1" pivotButton="0" quotePrefix="0" xfId="0"/>
    <xf numFmtId="165" fontId="14" fillId="16" borderId="1" pivotButton="0" quotePrefix="0" xfId="0"/>
    <xf numFmtId="2" fontId="14" fillId="16" borderId="1" pivotButton="0" quotePrefix="0" xfId="0"/>
    <xf numFmtId="0" fontId="10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left" vertical="center"/>
    </xf>
    <xf numFmtId="0" fontId="10" fillId="18" borderId="1" applyAlignment="1" pivotButton="0" quotePrefix="0" xfId="0">
      <alignment horizontal="left" vertical="center"/>
    </xf>
    <xf numFmtId="3" fontId="10" fillId="17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164" fontId="10" fillId="19" borderId="1" applyAlignment="1" pivotButton="0" quotePrefix="0" xfId="0">
      <alignment horizontal="center" vertical="center"/>
    </xf>
    <xf numFmtId="165" fontId="10" fillId="17" borderId="1" applyAlignment="1" pivotButton="0" quotePrefix="0" xfId="0">
      <alignment horizontal="center" vertical="center"/>
    </xf>
    <xf numFmtId="164" fontId="10" fillId="17" borderId="1" applyAlignment="1" pivotButton="0" quotePrefix="0" xfId="0">
      <alignment horizontal="center" vertical="center"/>
    </xf>
    <xf numFmtId="3" fontId="9" fillId="17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left" vertical="center" wrapText="1"/>
    </xf>
    <xf numFmtId="0" fontId="0" fillId="19" borderId="0" pivotButton="0" quotePrefix="0" xfId="0"/>
    <xf numFmtId="0" fontId="10" fillId="0" borderId="1" applyAlignment="1" pivotButton="0" quotePrefix="0" xfId="0">
      <alignment horizontal="left" vertical="center"/>
    </xf>
    <xf numFmtId="3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5" borderId="1" applyAlignment="1" pivotButton="0" quotePrefix="0" xfId="0">
      <alignment horizontal="center"/>
    </xf>
    <xf numFmtId="0" fontId="0" fillId="0" borderId="2" pivotButton="0" quotePrefix="0" xfId="0"/>
    <xf numFmtId="0" fontId="1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8E1"/>
      <rgbColor rgb="FFD9E8F5"/>
      <rgbColor rgb="FF660066"/>
      <rgbColor rgb="FFFF8080"/>
      <rgbColor rgb="FF0066CC"/>
      <rgbColor rgb="FFF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F0"/>
      <rgbColor rgb="FFC8F7C5"/>
      <rgbColor rgb="FFFFF3CD"/>
      <rgbColor rgb="FFADE8F4"/>
      <rgbColor rgb="FFFDDCDC"/>
      <rgbColor rgb="FFB7E4C7"/>
      <rgbColor rgb="FFFFCFD2"/>
      <rgbColor rgb="FF3366FF"/>
      <rgbColor rgb="FF33CCCC"/>
      <rgbColor rgb="FF99CC00"/>
      <rgbColor rgb="FFE9C46A"/>
      <rgbColor rgb="FFFF9900"/>
      <rgbColor rgb="FFFF6600"/>
      <rgbColor rgb="FF666699"/>
      <rgbColor rgb="FF999999"/>
      <rgbColor rgb="FF0F3460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topLeftCell="A13" zoomScale="170" zoomScaleNormal="100" workbookViewId="0">
      <selection activeCell="B20" sqref="B20"/>
    </sheetView>
  </sheetViews>
  <sheetFormatPr baseColWidth="10" defaultColWidth="8.6640625" defaultRowHeight="15"/>
  <cols>
    <col width="30" customWidth="1" style="80" min="1" max="1"/>
    <col width="95" customWidth="1" style="80" min="2" max="2"/>
  </cols>
  <sheetData>
    <row r="1" ht="31.5" customHeight="1" s="80">
      <c r="A1" s="83" t="inlineStr">
        <is>
          <t>Formula-Driven Workbook — Trace Guide</t>
        </is>
      </c>
    </row>
    <row r="2" ht="33.75" customHeight="1" s="80">
      <c r="A2" s="1" t="inlineStr">
        <is>
          <t>HOW TO TRACE</t>
        </is>
      </c>
      <c r="B2" s="2" t="inlineStr">
        <is>
          <t>Every computed value is a live formula. Click any cell to see its inputs.</t>
        </is>
      </c>
    </row>
    <row r="3" ht="33.75" customHeight="1" s="80">
      <c r="A3" s="3" t="inlineStr">
        <is>
          <t>Parameters</t>
        </is>
      </c>
      <c r="B3" s="4" t="inlineStr">
        <is>
          <t>Editable yellow cells: SEC by class, EU27 fallback shares, replaceability. Change these and everything recomputes.</t>
        </is>
      </c>
    </row>
    <row r="4" ht="33.75" customHeight="1" s="80">
      <c r="A4" s="1" t="inlineStr">
        <is>
          <t>Fossil_Shares</t>
        </is>
      </c>
      <c r="B4" s="2" t="inlineStr">
        <is>
          <t>Col F: share = Fossil Sum / Total (live). Cols J:K: Country|NACE to share lookup used by Facilities.</t>
        </is>
      </c>
    </row>
    <row r="5" ht="33.75" customHeight="1" s="80">
      <c r="A5" s="3" t="inlineStr">
        <is>
          <t>Facilities</t>
        </is>
      </c>
      <c r="B5" s="4" t="inlineStr">
        <is>
          <t>Col H: SEC via VLOOKUP(class). Col I: fossil share via VLOOKUP(country|nace); falls back to EU27 by NACE if suppressed. Col L: Heat = output × SEC. Col M: Replaceable = Heat × Share × Replace Frac.</t>
        </is>
      </c>
    </row>
    <row r="6" ht="33.75" customHeight="1" s="80">
      <c r="A6" s="1" t="inlineStr">
        <is>
          <t>Country_Summary</t>
        </is>
      </c>
      <c r="B6" s="2" t="inlineStr">
        <is>
          <t>SUMIFS over Facilities filtered to keep=YES. Edit a keep flag or parameter and totals update.</t>
        </is>
      </c>
    </row>
    <row r="7" ht="33.75" customHeight="1" s="80">
      <c r="A7" s="81" t="inlineStr">
        <is>
          <t>FORMULA CHAIN</t>
        </is>
      </c>
      <c r="B7" s="82" t="n"/>
    </row>
    <row r="8" ht="33.75" customHeight="1" s="80">
      <c r="A8" s="1" t="inlineStr">
        <is>
          <t>Heat Demand</t>
        </is>
      </c>
      <c r="B8" s="2" t="inlineStr">
        <is>
          <t>annual_output_t multiplied by SEC (looked up from classification)</t>
        </is>
      </c>
    </row>
    <row r="9" ht="33.75" customHeight="1" s="80">
      <c r="A9" s="3" t="inlineStr">
        <is>
          <t>Fossil Share</t>
        </is>
      </c>
      <c r="B9" s="4" t="inlineStr">
        <is>
          <t>Eurostat country|nace share; if suppressed, EU27 fallback by NACE</t>
        </is>
      </c>
    </row>
    <row r="10" ht="33.75" customHeight="1" s="80">
      <c r="A10" s="1" t="inlineStr">
        <is>
          <t>Replaceable Heat</t>
        </is>
      </c>
      <c r="B10" s="2" t="inlineStr">
        <is>
          <t>Heat Demand multiplied by Fossil Share multiplied by Replaceability Fraction</t>
        </is>
      </c>
    </row>
    <row r="11" ht="33.75" customHeight="1" s="80">
      <c r="A11" s="3" t="inlineStr">
        <is>
          <t>Country totals</t>
        </is>
      </c>
      <c r="B11" s="4" t="inlineStr">
        <is>
          <t>SUMIFS filtered to keep=YES, divided by 1,000,000 to give TWh</t>
        </is>
      </c>
    </row>
    <row r="12" ht="33.75" customHeight="1" s="80">
      <c r="A12" s="81" t="inlineStr">
        <is>
          <t>FLAGS</t>
        </is>
      </c>
      <c r="B12" s="82" t="n"/>
    </row>
    <row r="13" ht="33.75" customHeight="1" s="80">
      <c r="A13" s="3" t="inlineStr">
        <is>
          <t>keep? = YES/no</t>
        </is>
      </c>
      <c r="B13" s="4" t="inlineStr">
        <is>
          <t>Excludes duplicates, closed mills, out-of-EU sites from totals</t>
        </is>
      </c>
    </row>
    <row r="14" ht="33.75" customHeight="1" s="80">
      <c r="A14" s="1" t="inlineStr">
        <is>
          <t>proxy_capacity = PROXY</t>
        </is>
      </c>
      <c r="B14" s="2" t="inlineStr">
        <is>
          <t>Output value shared by 2+ mills = Climate TRACE default, not facility-specific. 35 of 71 kept sites. Verify against company disclosures before trusting site-level results.</t>
        </is>
      </c>
    </row>
    <row r="15" ht="33.75" customHeight="1" s="80">
      <c r="A15" s="3" t="inlineStr">
        <is>
          <t>FS Source</t>
        </is>
      </c>
      <c r="B15" s="4" t="inlineStr">
        <is>
          <t>Eurostat = real country data; EU27 fallback = that country/NACE suppressed</t>
        </is>
      </c>
    </row>
    <row r="16" ht="33.75" customHeight="1" s="80">
      <c r="A16" s="81" t="inlineStr">
        <is>
          <t>KNOWN LIMITATIONS</t>
        </is>
      </c>
      <c r="B16" s="82" t="n"/>
    </row>
    <row r="17" ht="33.75" customHeight="1" s="80">
      <c r="A17" s="3" t="inlineStr">
        <is>
          <t>Proxy capacity</t>
        </is>
      </c>
      <c r="B17" s="4" t="inlineStr">
        <is>
          <t>~45% of sites share a default output. Largest errors: Nervion (+94%), Saint-Gaudens/Tarascon (+68%). Replace with verified capacity.</t>
        </is>
      </c>
    </row>
    <row r="18" ht="33.75" customHeight="1" s="80">
      <c r="A18" s="1" t="inlineStr">
        <is>
          <t>Integrated output</t>
        </is>
      </c>
      <c r="B18" s="2" t="inlineStr">
        <is>
          <t>Verified NOT double-counted. Setubal, Facture, Figueira match reported paper output.</t>
        </is>
      </c>
    </row>
    <row r="19" ht="33.75" customHeight="1" s="80">
      <c r="A19" s="3" t="inlineStr">
        <is>
          <t>Tissue SEC</t>
        </is>
      </c>
      <c r="B19" s="4" t="inlineStr">
        <is>
          <t>Lowered to 1.5 MWh/t per measured Yankee+hood data.</t>
        </is>
      </c>
    </row>
    <row r="20" ht="33.75" customHeight="1" s="80">
      <c r="A20" s="1" t="inlineStr">
        <is>
          <t>Totals (current)</t>
        </is>
      </c>
      <c r="B20" s="2" t="inlineStr">
        <is>
          <t>71 kept sites; 20.5 Mt output; 68.3 TWh heat; 15.2 TWh replaceable; 22.3% aggregate fossil share.</t>
        </is>
      </c>
    </row>
  </sheetData>
  <mergeCells count="4">
    <mergeCell ref="A16:B16"/>
    <mergeCell ref="A7:B7"/>
    <mergeCell ref="A1:B1"/>
    <mergeCell ref="A12:B1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206" zoomScaleNormal="100" workbookViewId="0">
      <selection activeCell="A1" sqref="A1:D1"/>
    </sheetView>
  </sheetViews>
  <sheetFormatPr baseColWidth="10" defaultColWidth="8.6640625" defaultRowHeight="15"/>
  <cols>
    <col width="42" customWidth="1" style="80" min="1" max="1"/>
    <col width="16" customWidth="1" style="80" min="2" max="2"/>
  </cols>
  <sheetData>
    <row r="1" ht="27.75" customHeight="1" s="80">
      <c r="A1" s="84" t="inlineStr">
        <is>
          <t>PARAMETERS — edit yellow cells to drive all calculations</t>
        </is>
      </c>
    </row>
    <row r="3">
      <c r="A3" s="5" t="inlineStr">
        <is>
          <t>Thermal SEC by classification (MWh/t)</t>
        </is>
      </c>
    </row>
    <row r="4">
      <c r="A4" s="6" t="inlineStr">
        <is>
          <t>Classification</t>
        </is>
      </c>
      <c r="B4" s="6" t="inlineStr">
        <is>
          <t>SEC (MWh/t)</t>
        </is>
      </c>
    </row>
    <row r="5">
      <c r="A5" s="7" t="inlineStr">
        <is>
          <t>Pulp</t>
        </is>
      </c>
      <c r="B5" s="8" t="n">
        <v>3.3</v>
      </c>
    </row>
    <row r="6">
      <c r="A6" s="7" t="inlineStr">
        <is>
          <t>Integrated</t>
        </is>
      </c>
      <c r="B6" s="8" t="n">
        <v>5</v>
      </c>
    </row>
    <row r="7">
      <c r="A7" s="7" t="inlineStr">
        <is>
          <t>Paper/Board</t>
        </is>
      </c>
      <c r="B7" s="8" t="n">
        <v>1.3</v>
      </c>
    </row>
    <row r="8">
      <c r="A8" s="7" t="inlineStr">
        <is>
          <t>Tissue</t>
        </is>
      </c>
      <c r="B8" s="8" t="n">
        <v>2.6</v>
      </c>
    </row>
    <row r="10">
      <c r="A10" s="5" t="inlineStr">
        <is>
          <t>EU27 fallback fossil share by NACE</t>
        </is>
      </c>
    </row>
    <row r="11">
      <c r="A11" s="6" t="inlineStr">
        <is>
          <t>NACE</t>
        </is>
      </c>
      <c r="B11" s="6" t="inlineStr">
        <is>
          <t>Fallback share</t>
        </is>
      </c>
    </row>
    <row r="12">
      <c r="A12" s="7" t="inlineStr">
        <is>
          <t>C17</t>
        </is>
      </c>
      <c r="B12" s="9" t="n">
        <v>0.2408</v>
      </c>
    </row>
    <row r="13">
      <c r="A13" s="7" t="inlineStr">
        <is>
          <t>C17xP</t>
        </is>
      </c>
      <c r="B13" s="9" t="n">
        <v>0.2686</v>
      </c>
    </row>
    <row r="14">
      <c r="A14" s="7" t="inlineStr">
        <is>
          <t>C1711</t>
        </is>
      </c>
      <c r="B14" s="9" t="n">
        <v>0.2033</v>
      </c>
    </row>
    <row r="16">
      <c r="A16" s="5" t="inlineStr">
        <is>
          <t>Replaceability fraction</t>
        </is>
      </c>
    </row>
    <row r="17">
      <c r="A17" s="6" t="inlineStr">
        <is>
          <t>Classification</t>
        </is>
      </c>
      <c r="B17" s="6" t="inlineStr">
        <is>
          <t>Replace frac</t>
        </is>
      </c>
    </row>
    <row r="18">
      <c r="A18" s="7" t="inlineStr">
        <is>
          <t>Pulp</t>
        </is>
      </c>
      <c r="B18" s="8" t="n">
        <v>1</v>
      </c>
    </row>
    <row r="19">
      <c r="A19" s="7" t="inlineStr">
        <is>
          <t>Integrated</t>
        </is>
      </c>
      <c r="B19" s="8" t="n">
        <v>1</v>
      </c>
    </row>
    <row r="20">
      <c r="A20" s="7" t="inlineStr">
        <is>
          <t>Paper/Board</t>
        </is>
      </c>
      <c r="B20" s="8" t="n">
        <v>1</v>
      </c>
    </row>
    <row r="21">
      <c r="A21" s="7" t="inlineStr">
        <is>
          <t>Tissue</t>
        </is>
      </c>
      <c r="B21" s="8" t="n">
        <v>1</v>
      </c>
    </row>
    <row r="23">
      <c r="A23" s="10" t="inlineStr">
        <is>
          <t>Yellow cells are editable. All sheets reference these.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showGridLines="0" topLeftCell="D1" zoomScale="188" zoomScaleNormal="100" workbookViewId="0">
      <pane ySplit="2" topLeftCell="A98" activePane="bottomLeft" state="frozen"/>
      <selection pane="bottomLeft" activeCell="A1" sqref="A1:H1"/>
    </sheetView>
  </sheetViews>
  <sheetFormatPr baseColWidth="10" defaultColWidth="8.6640625" defaultRowHeight="15"/>
  <cols>
    <col width="18" customWidth="1" style="80" min="1" max="1"/>
    <col width="30" customWidth="1" style="80" min="2" max="2"/>
    <col width="8" customWidth="1" style="80" min="3" max="3"/>
    <col width="13" customWidth="1" style="80" min="4" max="4"/>
    <col width="14" customWidth="1" style="80" min="5" max="5"/>
    <col width="16" customWidth="1" style="80" min="6" max="6"/>
    <col width="9" customWidth="1" style="80" min="7" max="7"/>
    <col width="20" customWidth="1" style="80" min="8" max="8"/>
    <col width="22" customWidth="1" style="80" min="10" max="10"/>
    <col width="10" customWidth="1" style="80" min="11" max="11"/>
  </cols>
  <sheetData>
    <row r="1" ht="27.75" customHeight="1" s="80">
      <c r="A1" s="84" t="inlineStr">
        <is>
          <t>Eurostat 2023 Fossil Shares (NCV) — components &amp; computed share</t>
        </is>
      </c>
    </row>
    <row r="2" ht="26" customHeight="1" s="80">
      <c r="A2" s="6" t="inlineStr">
        <is>
          <t>Country</t>
        </is>
      </c>
      <c r="B2" s="6" t="inlineStr">
        <is>
          <t>Sector</t>
        </is>
      </c>
      <c r="C2" s="6" t="inlineStr">
        <is>
          <t>NACE</t>
        </is>
      </c>
      <c r="D2" s="6" t="inlineStr">
        <is>
          <t>Total TJ</t>
        </is>
      </c>
      <c r="E2" s="6" t="inlineStr">
        <is>
          <t>Fossil Sum TJ</t>
        </is>
      </c>
      <c r="F2" s="6" t="inlineStr">
        <is>
          <t>Fossil Share (formula)</t>
        </is>
      </c>
      <c r="G2" s="6" t="inlineStr">
        <is>
          <t>Available</t>
        </is>
      </c>
      <c r="H2" s="6" t="inlineStr">
        <is>
          <t>Lookup Key</t>
        </is>
      </c>
      <c r="J2" s="11" t="inlineStr">
        <is>
          <t>KEY</t>
        </is>
      </c>
      <c r="K2" s="11" t="inlineStr">
        <is>
          <t>SHARE</t>
        </is>
      </c>
    </row>
    <row r="3">
      <c r="A3" s="12" t="inlineStr">
        <is>
          <t>Albania</t>
        </is>
      </c>
      <c r="B3" s="12" t="inlineStr">
        <is>
          <t>C17 — All paper &amp; pulp</t>
        </is>
      </c>
      <c r="C3" s="12" t="inlineStr">
        <is>
          <t>C17</t>
        </is>
      </c>
      <c r="D3" s="13" t="n"/>
      <c r="E3" s="13" t="n">
        <v>0</v>
      </c>
      <c r="F3" s="14" t="n"/>
      <c r="G3" s="12" t="inlineStr">
        <is>
          <t>No</t>
        </is>
      </c>
      <c r="H3" s="15">
        <f>A3&amp;"|"&amp;C3</f>
        <v/>
      </c>
      <c r="J3" s="16">
        <f>H3</f>
        <v/>
      </c>
      <c r="K3" s="16">
        <f>IF(ISBLANK(F3),"",F3)</f>
        <v/>
      </c>
    </row>
    <row r="4">
      <c r="A4" s="17" t="inlineStr">
        <is>
          <t>Albania</t>
        </is>
      </c>
      <c r="B4" s="17" t="inlineStr">
        <is>
          <t>C17_X_C1711 — Paper excl. pulp</t>
        </is>
      </c>
      <c r="C4" s="17" t="inlineStr">
        <is>
          <t>C17xP</t>
        </is>
      </c>
      <c r="D4" s="18" t="n"/>
      <c r="E4" s="18" t="n">
        <v>0</v>
      </c>
      <c r="F4" s="19" t="n"/>
      <c r="G4" s="17" t="inlineStr">
        <is>
          <t>No</t>
        </is>
      </c>
      <c r="H4" s="20">
        <f>A4&amp;"|"&amp;C4</f>
        <v/>
      </c>
      <c r="J4" s="16">
        <f>H4</f>
        <v/>
      </c>
      <c r="K4" s="16">
        <f>IF(ISBLANK(F4),"",F4)</f>
        <v/>
      </c>
    </row>
    <row r="5">
      <c r="A5" s="12" t="inlineStr">
        <is>
          <t>Albania</t>
        </is>
      </c>
      <c r="B5" s="12" t="inlineStr">
        <is>
          <t>C1711 — Pulp only</t>
        </is>
      </c>
      <c r="C5" s="12" t="inlineStr">
        <is>
          <t>C1711</t>
        </is>
      </c>
      <c r="D5" s="13" t="n"/>
      <c r="E5" s="13" t="n">
        <v>0</v>
      </c>
      <c r="F5" s="14" t="n"/>
      <c r="G5" s="12" t="inlineStr">
        <is>
          <t>No</t>
        </is>
      </c>
      <c r="H5" s="15">
        <f>A5&amp;"|"&amp;C5</f>
        <v/>
      </c>
      <c r="J5" s="16">
        <f>H5</f>
        <v/>
      </c>
      <c r="K5" s="16">
        <f>IF(ISBLANK(F5),"",F5)</f>
        <v/>
      </c>
    </row>
    <row r="6">
      <c r="A6" s="17" t="inlineStr">
        <is>
          <t>Austria</t>
        </is>
      </c>
      <c r="B6" s="17" t="inlineStr">
        <is>
          <t>C17 — All paper &amp; pulp</t>
        </is>
      </c>
      <c r="C6" s="17" t="inlineStr">
        <is>
          <t>C17</t>
        </is>
      </c>
      <c r="D6" s="18" t="n">
        <v>61834.396</v>
      </c>
      <c r="E6" s="18" t="n">
        <v>17366.4</v>
      </c>
      <c r="F6" s="19">
        <f>E6/D6</f>
        <v/>
      </c>
      <c r="G6" s="17" t="inlineStr">
        <is>
          <t>Yes</t>
        </is>
      </c>
      <c r="H6" s="20">
        <f>A6&amp;"|"&amp;C6</f>
        <v/>
      </c>
      <c r="J6" s="16">
        <f>H6</f>
        <v/>
      </c>
      <c r="K6" s="21">
        <f>IF(ISBLANK(F6),"",F6)</f>
        <v/>
      </c>
    </row>
    <row r="7">
      <c r="A7" s="12" t="inlineStr">
        <is>
          <t>Austria</t>
        </is>
      </c>
      <c r="B7" s="12" t="inlineStr">
        <is>
          <t>C17_X_C1711 — Paper excl. pulp</t>
        </is>
      </c>
      <c r="C7" s="12" t="inlineStr">
        <is>
          <t>C17xP</t>
        </is>
      </c>
      <c r="D7" s="13" t="n">
        <v>9197.389999999999</v>
      </c>
      <c r="E7" s="13" t="n">
        <v>0</v>
      </c>
      <c r="F7" s="14">
        <f>E7/D7</f>
        <v/>
      </c>
      <c r="G7" s="12" t="inlineStr">
        <is>
          <t>Yes</t>
        </is>
      </c>
      <c r="H7" s="15">
        <f>A7&amp;"|"&amp;C7</f>
        <v/>
      </c>
      <c r="J7" s="16">
        <f>H7</f>
        <v/>
      </c>
      <c r="K7" s="21">
        <f>IF(ISBLANK(F7),"",F7)</f>
        <v/>
      </c>
    </row>
    <row r="8">
      <c r="A8" s="17" t="inlineStr">
        <is>
          <t>Austria</t>
        </is>
      </c>
      <c r="B8" s="17" t="inlineStr">
        <is>
          <t>C1711 — Pulp only</t>
        </is>
      </c>
      <c r="C8" s="17" t="inlineStr">
        <is>
          <t>C1711</t>
        </is>
      </c>
      <c r="D8" s="18" t="n">
        <v>52637.006</v>
      </c>
      <c r="E8" s="18" t="n">
        <v>17366.4</v>
      </c>
      <c r="F8" s="19">
        <f>E8/D8</f>
        <v/>
      </c>
      <c r="G8" s="17" t="inlineStr">
        <is>
          <t>Yes</t>
        </is>
      </c>
      <c r="H8" s="20">
        <f>A8&amp;"|"&amp;C8</f>
        <v/>
      </c>
      <c r="J8" s="16">
        <f>H8</f>
        <v/>
      </c>
      <c r="K8" s="21">
        <f>IF(ISBLANK(F8),"",F8)</f>
        <v/>
      </c>
    </row>
    <row r="9">
      <c r="A9" s="12" t="inlineStr">
        <is>
          <t>Belgium</t>
        </is>
      </c>
      <c r="B9" s="12" t="inlineStr">
        <is>
          <t>C17 — All paper &amp; pulp</t>
        </is>
      </c>
      <c r="C9" s="12" t="inlineStr">
        <is>
          <t>C17</t>
        </is>
      </c>
      <c r="D9" s="13" t="n">
        <v>22562.816</v>
      </c>
      <c r="E9" s="13" t="n">
        <v>883.4</v>
      </c>
      <c r="F9" s="14">
        <f>E9/D9</f>
        <v/>
      </c>
      <c r="G9" s="12" t="inlineStr">
        <is>
          <t>Yes</t>
        </is>
      </c>
      <c r="H9" s="15">
        <f>A9&amp;"|"&amp;C9</f>
        <v/>
      </c>
      <c r="J9" s="16">
        <f>H9</f>
        <v/>
      </c>
      <c r="K9" s="21">
        <f>IF(ISBLANK(F9),"",F9)</f>
        <v/>
      </c>
    </row>
    <row r="10">
      <c r="A10" s="17" t="inlineStr">
        <is>
          <t>Belgium</t>
        </is>
      </c>
      <c r="B10" s="17" t="inlineStr">
        <is>
          <t>C17_X_C1711 — Paper excl. pulp</t>
        </is>
      </c>
      <c r="C10" s="17" t="inlineStr">
        <is>
          <t>C17xP</t>
        </is>
      </c>
      <c r="D10" s="18" t="n"/>
      <c r="E10" s="18" t="n">
        <v>640.2</v>
      </c>
      <c r="F10" s="19" t="n"/>
      <c r="G10" s="17" t="inlineStr">
        <is>
          <t>No</t>
        </is>
      </c>
      <c r="H10" s="20">
        <f>A10&amp;"|"&amp;C10</f>
        <v/>
      </c>
      <c r="J10" s="16">
        <f>H10</f>
        <v/>
      </c>
      <c r="K10" s="16">
        <f>IF(ISBLANK(F10),"",F10)</f>
        <v/>
      </c>
    </row>
    <row r="11">
      <c r="A11" s="12" t="inlineStr">
        <is>
          <t>Belgium</t>
        </is>
      </c>
      <c r="B11" s="12" t="inlineStr">
        <is>
          <t>C1711 — Pulp only</t>
        </is>
      </c>
      <c r="C11" s="12" t="inlineStr">
        <is>
          <t>C1711</t>
        </is>
      </c>
      <c r="D11" s="13" t="n"/>
      <c r="E11" s="13" t="n">
        <v>243.2</v>
      </c>
      <c r="F11" s="14" t="n"/>
      <c r="G11" s="12" t="inlineStr">
        <is>
          <t>No</t>
        </is>
      </c>
      <c r="H11" s="15">
        <f>A11&amp;"|"&amp;C11</f>
        <v/>
      </c>
      <c r="J11" s="16">
        <f>H11</f>
        <v/>
      </c>
      <c r="K11" s="16">
        <f>IF(ISBLANK(F11),"",F11)</f>
        <v/>
      </c>
    </row>
    <row r="12">
      <c r="A12" s="17" t="inlineStr">
        <is>
          <t>Bulgaria</t>
        </is>
      </c>
      <c r="B12" s="17" t="inlineStr">
        <is>
          <t>C17 — All paper &amp; pulp</t>
        </is>
      </c>
      <c r="C12" s="17" t="inlineStr">
        <is>
          <t>C17</t>
        </is>
      </c>
      <c r="D12" s="18" t="n"/>
      <c r="E12" s="18" t="n">
        <v>914</v>
      </c>
      <c r="F12" s="19" t="n"/>
      <c r="G12" s="17" t="inlineStr">
        <is>
          <t>No</t>
        </is>
      </c>
      <c r="H12" s="20">
        <f>A12&amp;"|"&amp;C12</f>
        <v/>
      </c>
      <c r="J12" s="16">
        <f>H12</f>
        <v/>
      </c>
      <c r="K12" s="16">
        <f>IF(ISBLANK(F12),"",F12)</f>
        <v/>
      </c>
    </row>
    <row r="13">
      <c r="A13" s="12" t="inlineStr">
        <is>
          <t>Bulgaria</t>
        </is>
      </c>
      <c r="B13" s="12" t="inlineStr">
        <is>
          <t>C17_X_C1711 — Paper excl. pulp</t>
        </is>
      </c>
      <c r="C13" s="12" t="inlineStr">
        <is>
          <t>C17xP</t>
        </is>
      </c>
      <c r="D13" s="13" t="n"/>
      <c r="E13" s="13" t="n">
        <v>11.3</v>
      </c>
      <c r="F13" s="14" t="n"/>
      <c r="G13" s="12" t="inlineStr">
        <is>
          <t>No</t>
        </is>
      </c>
      <c r="H13" s="15">
        <f>A13&amp;"|"&amp;C13</f>
        <v/>
      </c>
      <c r="J13" s="16">
        <f>H13</f>
        <v/>
      </c>
      <c r="K13" s="16">
        <f>IF(ISBLANK(F13),"",F13)</f>
        <v/>
      </c>
    </row>
    <row r="14">
      <c r="A14" s="17" t="inlineStr">
        <is>
          <t>Bulgaria</t>
        </is>
      </c>
      <c r="B14" s="17" t="inlineStr">
        <is>
          <t>C1711 — Pulp only</t>
        </is>
      </c>
      <c r="C14" s="17" t="inlineStr">
        <is>
          <t>C1711</t>
        </is>
      </c>
      <c r="D14" s="18" t="n"/>
      <c r="E14" s="18" t="n">
        <v>0</v>
      </c>
      <c r="F14" s="19" t="n"/>
      <c r="G14" s="17" t="inlineStr">
        <is>
          <t>No</t>
        </is>
      </c>
      <c r="H14" s="20">
        <f>A14&amp;"|"&amp;C14</f>
        <v/>
      </c>
      <c r="J14" s="16">
        <f>H14</f>
        <v/>
      </c>
      <c r="K14" s="16">
        <f>IF(ISBLANK(F14),"",F14)</f>
        <v/>
      </c>
    </row>
    <row r="15">
      <c r="A15" s="12" t="inlineStr">
        <is>
          <t>Croatia</t>
        </is>
      </c>
      <c r="B15" s="12" t="inlineStr">
        <is>
          <t>C17 — All paper &amp; pulp</t>
        </is>
      </c>
      <c r="C15" s="12" t="inlineStr">
        <is>
          <t>C17</t>
        </is>
      </c>
      <c r="D15" s="13" t="n">
        <v>1987.634</v>
      </c>
      <c r="E15" s="13" t="n">
        <v>1091</v>
      </c>
      <c r="F15" s="14">
        <f>E15/D15</f>
        <v/>
      </c>
      <c r="G15" s="12" t="inlineStr">
        <is>
          <t>Yes</t>
        </is>
      </c>
      <c r="H15" s="15">
        <f>A15&amp;"|"&amp;C15</f>
        <v/>
      </c>
      <c r="J15" s="16">
        <f>H15</f>
        <v/>
      </c>
      <c r="K15" s="21">
        <f>IF(ISBLANK(F15),"",F15)</f>
        <v/>
      </c>
    </row>
    <row r="16">
      <c r="A16" s="17" t="inlineStr">
        <is>
          <t>Croatia</t>
        </is>
      </c>
      <c r="B16" s="17" t="inlineStr">
        <is>
          <t>C17_X_C1711 — Paper excl. pulp</t>
        </is>
      </c>
      <c r="C16" s="17" t="inlineStr">
        <is>
          <t>C17xP</t>
        </is>
      </c>
      <c r="D16" s="18" t="n">
        <v>1987.634</v>
      </c>
      <c r="E16" s="18" t="n">
        <v>1091</v>
      </c>
      <c r="F16" s="19">
        <f>E16/D16</f>
        <v/>
      </c>
      <c r="G16" s="17" t="inlineStr">
        <is>
          <t>Yes</t>
        </is>
      </c>
      <c r="H16" s="20">
        <f>A16&amp;"|"&amp;C16</f>
        <v/>
      </c>
      <c r="J16" s="16">
        <f>H16</f>
        <v/>
      </c>
      <c r="K16" s="21">
        <f>IF(ISBLANK(F16),"",F16)</f>
        <v/>
      </c>
    </row>
    <row r="17">
      <c r="A17" s="12" t="inlineStr">
        <is>
          <t>Croatia</t>
        </is>
      </c>
      <c r="B17" s="12" t="inlineStr">
        <is>
          <t>C1711 — Pulp only</t>
        </is>
      </c>
      <c r="C17" s="12" t="inlineStr">
        <is>
          <t>C1711</t>
        </is>
      </c>
      <c r="D17" s="13" t="n">
        <v>0</v>
      </c>
      <c r="E17" s="13" t="n">
        <v>0</v>
      </c>
      <c r="F17" s="14" t="n"/>
      <c r="G17" s="12" t="inlineStr">
        <is>
          <t>Yes</t>
        </is>
      </c>
      <c r="H17" s="15">
        <f>A17&amp;"|"&amp;C17</f>
        <v/>
      </c>
      <c r="J17" s="16">
        <f>H17</f>
        <v/>
      </c>
      <c r="K17" s="16">
        <f>IF(ISBLANK(F17),"",F17)</f>
        <v/>
      </c>
    </row>
    <row r="18">
      <c r="A18" s="17" t="inlineStr">
        <is>
          <t>Cyprus</t>
        </is>
      </c>
      <c r="B18" s="17" t="inlineStr">
        <is>
          <t>C17 — All paper &amp; pulp</t>
        </is>
      </c>
      <c r="C18" s="17" t="inlineStr">
        <is>
          <t>C17</t>
        </is>
      </c>
      <c r="D18" s="18" t="n">
        <v>19.948</v>
      </c>
      <c r="E18" s="18" t="n">
        <v>8.6</v>
      </c>
      <c r="F18" s="19">
        <f>E18/D18</f>
        <v/>
      </c>
      <c r="G18" s="17" t="inlineStr">
        <is>
          <t>Yes</t>
        </is>
      </c>
      <c r="H18" s="20">
        <f>A18&amp;"|"&amp;C18</f>
        <v/>
      </c>
      <c r="J18" s="16">
        <f>H18</f>
        <v/>
      </c>
      <c r="K18" s="21">
        <f>IF(ISBLANK(F18),"",F18)</f>
        <v/>
      </c>
    </row>
    <row r="19">
      <c r="A19" s="12" t="inlineStr">
        <is>
          <t>Cyprus</t>
        </is>
      </c>
      <c r="B19" s="12" t="inlineStr">
        <is>
          <t>C17_X_C1711 — Paper excl. pulp</t>
        </is>
      </c>
      <c r="C19" s="12" t="inlineStr">
        <is>
          <t>C17xP</t>
        </is>
      </c>
      <c r="D19" s="13" t="n">
        <v>19.854</v>
      </c>
      <c r="E19" s="13" t="n">
        <v>8.6</v>
      </c>
      <c r="F19" s="14">
        <f>E19/D19</f>
        <v/>
      </c>
      <c r="G19" s="12" t="inlineStr">
        <is>
          <t>Yes</t>
        </is>
      </c>
      <c r="H19" s="15">
        <f>A19&amp;"|"&amp;C19</f>
        <v/>
      </c>
      <c r="J19" s="16">
        <f>H19</f>
        <v/>
      </c>
      <c r="K19" s="21">
        <f>IF(ISBLANK(F19),"",F19)</f>
        <v/>
      </c>
    </row>
    <row r="20">
      <c r="A20" s="17" t="inlineStr">
        <is>
          <t>Cyprus</t>
        </is>
      </c>
      <c r="B20" s="17" t="inlineStr">
        <is>
          <t>C1711 — Pulp only</t>
        </is>
      </c>
      <c r="C20" s="17" t="inlineStr">
        <is>
          <t>C1711</t>
        </is>
      </c>
      <c r="D20" s="18" t="n">
        <v>0.094</v>
      </c>
      <c r="E20" s="18" t="n">
        <v>0</v>
      </c>
      <c r="F20" s="19">
        <f>E20/D20</f>
        <v/>
      </c>
      <c r="G20" s="17" t="inlineStr">
        <is>
          <t>Yes</t>
        </is>
      </c>
      <c r="H20" s="20">
        <f>A20&amp;"|"&amp;C20</f>
        <v/>
      </c>
      <c r="J20" s="16">
        <f>H20</f>
        <v/>
      </c>
      <c r="K20" s="21">
        <f>IF(ISBLANK(F20),"",F20)</f>
        <v/>
      </c>
    </row>
    <row r="21">
      <c r="A21" s="12" t="inlineStr">
        <is>
          <t>Czechia</t>
        </is>
      </c>
      <c r="B21" s="12" t="inlineStr">
        <is>
          <t>C17 — All paper &amp; pulp</t>
        </is>
      </c>
      <c r="C21" s="12" t="inlineStr">
        <is>
          <t>C17</t>
        </is>
      </c>
      <c r="D21" s="13" t="n"/>
      <c r="E21" s="13" t="n">
        <v>5206.2</v>
      </c>
      <c r="F21" s="14" t="n"/>
      <c r="G21" s="12" t="inlineStr">
        <is>
          <t>No</t>
        </is>
      </c>
      <c r="H21" s="15">
        <f>A21&amp;"|"&amp;C21</f>
        <v/>
      </c>
      <c r="J21" s="16">
        <f>H21</f>
        <v/>
      </c>
      <c r="K21" s="16">
        <f>IF(ISBLANK(F21),"",F21)</f>
        <v/>
      </c>
    </row>
    <row r="22">
      <c r="A22" s="17" t="inlineStr">
        <is>
          <t>Czechia</t>
        </is>
      </c>
      <c r="B22" s="17" t="inlineStr">
        <is>
          <t>C17_X_C1711 — Paper excl. pulp</t>
        </is>
      </c>
      <c r="C22" s="17" t="inlineStr">
        <is>
          <t>C17xP</t>
        </is>
      </c>
      <c r="D22" s="18" t="n"/>
      <c r="E22" s="18" t="n">
        <v>1674.6</v>
      </c>
      <c r="F22" s="19" t="n"/>
      <c r="G22" s="17" t="inlineStr">
        <is>
          <t>No</t>
        </is>
      </c>
      <c r="H22" s="20">
        <f>A22&amp;"|"&amp;C22</f>
        <v/>
      </c>
      <c r="J22" s="16">
        <f>H22</f>
        <v/>
      </c>
      <c r="K22" s="16">
        <f>IF(ISBLANK(F22),"",F22)</f>
        <v/>
      </c>
    </row>
    <row r="23">
      <c r="A23" s="12" t="inlineStr">
        <is>
          <t>Czechia</t>
        </is>
      </c>
      <c r="B23" s="12" t="inlineStr">
        <is>
          <t>C1711 — Pulp only</t>
        </is>
      </c>
      <c r="C23" s="12" t="inlineStr">
        <is>
          <t>C1711</t>
        </is>
      </c>
      <c r="D23" s="13" t="n"/>
      <c r="E23" s="13" t="n">
        <v>0</v>
      </c>
      <c r="F23" s="14" t="n"/>
      <c r="G23" s="12" t="inlineStr">
        <is>
          <t>No</t>
        </is>
      </c>
      <c r="H23" s="15">
        <f>A23&amp;"|"&amp;C23</f>
        <v/>
      </c>
      <c r="J23" s="16">
        <f>H23</f>
        <v/>
      </c>
      <c r="K23" s="16">
        <f>IF(ISBLANK(F23),"",F23)</f>
        <v/>
      </c>
    </row>
    <row r="24">
      <c r="A24" s="17" t="inlineStr">
        <is>
          <t>Denmark</t>
        </is>
      </c>
      <c r="B24" s="17" t="inlineStr">
        <is>
          <t>C17 — All paper &amp; pulp</t>
        </is>
      </c>
      <c r="C24" s="17" t="inlineStr">
        <is>
          <t>C17</t>
        </is>
      </c>
      <c r="D24" s="18" t="n">
        <v>2282.649</v>
      </c>
      <c r="E24" s="18" t="n">
        <v>1110.8</v>
      </c>
      <c r="F24" s="19">
        <f>E24/D24</f>
        <v/>
      </c>
      <c r="G24" s="17" t="inlineStr">
        <is>
          <t>Yes</t>
        </is>
      </c>
      <c r="H24" s="20">
        <f>A24&amp;"|"&amp;C24</f>
        <v/>
      </c>
      <c r="J24" s="16">
        <f>H24</f>
        <v/>
      </c>
      <c r="K24" s="21">
        <f>IF(ISBLANK(F24),"",F24)</f>
        <v/>
      </c>
    </row>
    <row r="25">
      <c r="A25" s="12" t="inlineStr">
        <is>
          <t>Denmark</t>
        </is>
      </c>
      <c r="B25" s="12" t="inlineStr">
        <is>
          <t>C17_X_C1711 — Paper excl. pulp</t>
        </is>
      </c>
      <c r="C25" s="12" t="inlineStr">
        <is>
          <t>C17xP</t>
        </is>
      </c>
      <c r="D25" s="13" t="n">
        <v>2282.649</v>
      </c>
      <c r="E25" s="13" t="n">
        <v>1110.8</v>
      </c>
      <c r="F25" s="14">
        <f>E25/D25</f>
        <v/>
      </c>
      <c r="G25" s="12" t="inlineStr">
        <is>
          <t>Yes</t>
        </is>
      </c>
      <c r="H25" s="15">
        <f>A25&amp;"|"&amp;C25</f>
        <v/>
      </c>
      <c r="J25" s="16">
        <f>H25</f>
        <v/>
      </c>
      <c r="K25" s="21">
        <f>IF(ISBLANK(F25),"",F25)</f>
        <v/>
      </c>
    </row>
    <row r="26">
      <c r="A26" s="17" t="inlineStr">
        <is>
          <t>Denmark</t>
        </is>
      </c>
      <c r="B26" s="17" t="inlineStr">
        <is>
          <t>C1711 — Pulp only</t>
        </is>
      </c>
      <c r="C26" s="17" t="inlineStr">
        <is>
          <t>C1711</t>
        </is>
      </c>
      <c r="D26" s="18" t="n">
        <v>0</v>
      </c>
      <c r="E26" s="18" t="n">
        <v>0</v>
      </c>
      <c r="F26" s="19" t="n"/>
      <c r="G26" s="17" t="inlineStr">
        <is>
          <t>Yes</t>
        </is>
      </c>
      <c r="H26" s="20">
        <f>A26&amp;"|"&amp;C26</f>
        <v/>
      </c>
      <c r="J26" s="16">
        <f>H26</f>
        <v/>
      </c>
      <c r="K26" s="16">
        <f>IF(ISBLANK(F26),"",F26)</f>
        <v/>
      </c>
    </row>
    <row r="27">
      <c r="A27" s="12" t="inlineStr">
        <is>
          <t>Estonia</t>
        </is>
      </c>
      <c r="B27" s="12" t="inlineStr">
        <is>
          <t>C17 — All paper &amp; pulp</t>
        </is>
      </c>
      <c r="C27" s="12" t="inlineStr">
        <is>
          <t>C17</t>
        </is>
      </c>
      <c r="D27" s="13" t="n">
        <v>1746.264</v>
      </c>
      <c r="E27" s="13" t="n">
        <v>420.4</v>
      </c>
      <c r="F27" s="14">
        <f>E27/D27</f>
        <v/>
      </c>
      <c r="G27" s="12" t="inlineStr">
        <is>
          <t>Yes</t>
        </is>
      </c>
      <c r="H27" s="15">
        <f>A27&amp;"|"&amp;C27</f>
        <v/>
      </c>
      <c r="J27" s="16">
        <f>H27</f>
        <v/>
      </c>
      <c r="K27" s="21">
        <f>IF(ISBLANK(F27),"",F27)</f>
        <v/>
      </c>
    </row>
    <row r="28">
      <c r="A28" s="17" t="inlineStr">
        <is>
          <t>Estonia</t>
        </is>
      </c>
      <c r="B28" s="17" t="inlineStr">
        <is>
          <t>C17_X_C1711 — Paper excl. pulp</t>
        </is>
      </c>
      <c r="C28" s="17" t="inlineStr">
        <is>
          <t>C17xP</t>
        </is>
      </c>
      <c r="D28" s="18" t="n">
        <v>828.9400000000001</v>
      </c>
      <c r="E28" s="18" t="n">
        <v>121.1</v>
      </c>
      <c r="F28" s="19">
        <f>E28/D28</f>
        <v/>
      </c>
      <c r="G28" s="17" t="inlineStr">
        <is>
          <t>Yes</t>
        </is>
      </c>
      <c r="H28" s="20">
        <f>A28&amp;"|"&amp;C28</f>
        <v/>
      </c>
      <c r="J28" s="16">
        <f>H28</f>
        <v/>
      </c>
      <c r="K28" s="21">
        <f>IF(ISBLANK(F28),"",F28)</f>
        <v/>
      </c>
    </row>
    <row r="29">
      <c r="A29" s="12" t="inlineStr">
        <is>
          <t>Estonia</t>
        </is>
      </c>
      <c r="B29" s="12" t="inlineStr">
        <is>
          <t>C1711 — Pulp only</t>
        </is>
      </c>
      <c r="C29" s="12" t="inlineStr">
        <is>
          <t>C1711</t>
        </is>
      </c>
      <c r="D29" s="13" t="n">
        <v>917.323</v>
      </c>
      <c r="E29" s="13" t="n">
        <v>299.3</v>
      </c>
      <c r="F29" s="14">
        <f>E29/D29</f>
        <v/>
      </c>
      <c r="G29" s="12" t="inlineStr">
        <is>
          <t>Yes</t>
        </is>
      </c>
      <c r="H29" s="15">
        <f>A29&amp;"|"&amp;C29</f>
        <v/>
      </c>
      <c r="J29" s="16">
        <f>H29</f>
        <v/>
      </c>
      <c r="K29" s="21">
        <f>IF(ISBLANK(F29),"",F29)</f>
        <v/>
      </c>
    </row>
    <row r="30">
      <c r="A30" s="17" t="inlineStr">
        <is>
          <t>Finland</t>
        </is>
      </c>
      <c r="B30" s="17" t="inlineStr">
        <is>
          <t>C17 — All paper &amp; pulp</t>
        </is>
      </c>
      <c r="C30" s="17" t="inlineStr">
        <is>
          <t>C17</t>
        </is>
      </c>
      <c r="D30" s="18" t="n">
        <v>212799.209</v>
      </c>
      <c r="E30" s="18" t="n">
        <v>18002.6</v>
      </c>
      <c r="F30" s="19">
        <f>E30/D30</f>
        <v/>
      </c>
      <c r="G30" s="17" t="inlineStr">
        <is>
          <t>Yes</t>
        </is>
      </c>
      <c r="H30" s="20">
        <f>A30&amp;"|"&amp;C30</f>
        <v/>
      </c>
      <c r="J30" s="16">
        <f>H30</f>
        <v/>
      </c>
      <c r="K30" s="21">
        <f>IF(ISBLANK(F30),"",F30)</f>
        <v/>
      </c>
    </row>
    <row r="31">
      <c r="A31" s="12" t="inlineStr">
        <is>
          <t>Finland</t>
        </is>
      </c>
      <c r="B31" s="12" t="inlineStr">
        <is>
          <t>C17_X_C1711 — Paper excl. pulp</t>
        </is>
      </c>
      <c r="C31" s="12" t="inlineStr">
        <is>
          <t>C17xP</t>
        </is>
      </c>
      <c r="D31" s="13" t="n">
        <v>103077.948</v>
      </c>
      <c r="E31" s="13" t="n">
        <v>11307.1</v>
      </c>
      <c r="F31" s="14">
        <f>E31/D31</f>
        <v/>
      </c>
      <c r="G31" s="12" t="inlineStr">
        <is>
          <t>Yes</t>
        </is>
      </c>
      <c r="H31" s="15">
        <f>A31&amp;"|"&amp;C31</f>
        <v/>
      </c>
      <c r="J31" s="16">
        <f>H31</f>
        <v/>
      </c>
      <c r="K31" s="21">
        <f>IF(ISBLANK(F31),"",F31)</f>
        <v/>
      </c>
    </row>
    <row r="32">
      <c r="A32" s="17" t="inlineStr">
        <is>
          <t>Finland</t>
        </is>
      </c>
      <c r="B32" s="17" t="inlineStr">
        <is>
          <t>C1711 — Pulp only</t>
        </is>
      </c>
      <c r="C32" s="17" t="inlineStr">
        <is>
          <t>C1711</t>
        </is>
      </c>
      <c r="D32" s="18" t="n">
        <v>109721.261</v>
      </c>
      <c r="E32" s="18" t="n">
        <v>6695.5</v>
      </c>
      <c r="F32" s="19">
        <f>E32/D32</f>
        <v/>
      </c>
      <c r="G32" s="17" t="inlineStr">
        <is>
          <t>Yes</t>
        </is>
      </c>
      <c r="H32" s="20">
        <f>A32&amp;"|"&amp;C32</f>
        <v/>
      </c>
      <c r="J32" s="16">
        <f>H32</f>
        <v/>
      </c>
      <c r="K32" s="21">
        <f>IF(ISBLANK(F32),"",F32)</f>
        <v/>
      </c>
    </row>
    <row r="33">
      <c r="A33" s="12" t="inlineStr">
        <is>
          <t>France</t>
        </is>
      </c>
      <c r="B33" s="12" t="inlineStr">
        <is>
          <t>C17 — All paper &amp; pulp</t>
        </is>
      </c>
      <c r="C33" s="12" t="inlineStr">
        <is>
          <t>C17</t>
        </is>
      </c>
      <c r="D33" s="13" t="n">
        <v>73551.671</v>
      </c>
      <c r="E33" s="13" t="n">
        <v>24104.5</v>
      </c>
      <c r="F33" s="14">
        <f>E33/D33</f>
        <v/>
      </c>
      <c r="G33" s="12" t="inlineStr">
        <is>
          <t>Yes</t>
        </is>
      </c>
      <c r="H33" s="15">
        <f>A33&amp;"|"&amp;C33</f>
        <v/>
      </c>
      <c r="J33" s="16">
        <f>H33</f>
        <v/>
      </c>
      <c r="K33" s="21">
        <f>IF(ISBLANK(F33),"",F33)</f>
        <v/>
      </c>
    </row>
    <row r="34">
      <c r="A34" s="17" t="inlineStr">
        <is>
          <t>France</t>
        </is>
      </c>
      <c r="B34" s="17" t="inlineStr">
        <is>
          <t>C17_X_C1711 — Paper excl. pulp</t>
        </is>
      </c>
      <c r="C34" s="17" t="inlineStr">
        <is>
          <t>C17xP</t>
        </is>
      </c>
      <c r="D34" s="18" t="n">
        <v>51435.385</v>
      </c>
      <c r="E34" s="18" t="n">
        <v>22445.7</v>
      </c>
      <c r="F34" s="19">
        <f>E34/D34</f>
        <v/>
      </c>
      <c r="G34" s="17" t="inlineStr">
        <is>
          <t>Yes</t>
        </is>
      </c>
      <c r="H34" s="20">
        <f>A34&amp;"|"&amp;C34</f>
        <v/>
      </c>
      <c r="J34" s="16">
        <f>H34</f>
        <v/>
      </c>
      <c r="K34" s="21">
        <f>IF(ISBLANK(F34),"",F34)</f>
        <v/>
      </c>
    </row>
    <row r="35">
      <c r="A35" s="12" t="inlineStr">
        <is>
          <t>France</t>
        </is>
      </c>
      <c r="B35" s="12" t="inlineStr">
        <is>
          <t>C1711 — Pulp only</t>
        </is>
      </c>
      <c r="C35" s="12" t="inlineStr">
        <is>
          <t>C1711</t>
        </is>
      </c>
      <c r="D35" s="13" t="n">
        <v>22116.286</v>
      </c>
      <c r="E35" s="13" t="n">
        <v>0</v>
      </c>
      <c r="F35" s="14">
        <f>E35/D35</f>
        <v/>
      </c>
      <c r="G35" s="12" t="inlineStr">
        <is>
          <t>Yes</t>
        </is>
      </c>
      <c r="H35" s="15">
        <f>A35&amp;"|"&amp;C35</f>
        <v/>
      </c>
      <c r="J35" s="16">
        <f>H35</f>
        <v/>
      </c>
      <c r="K35" s="21">
        <f>IF(ISBLANK(F35),"",F35)</f>
        <v/>
      </c>
    </row>
    <row r="36">
      <c r="A36" s="17" t="inlineStr">
        <is>
          <t>Germany</t>
        </is>
      </c>
      <c r="B36" s="17" t="inlineStr">
        <is>
          <t>C17 — All paper &amp; pulp</t>
        </is>
      </c>
      <c r="C36" s="17" t="inlineStr">
        <is>
          <t>C17</t>
        </is>
      </c>
      <c r="D36" s="18" t="n">
        <v>181262.159</v>
      </c>
      <c r="E36" s="18" t="n">
        <v>69138</v>
      </c>
      <c r="F36" s="19">
        <f>E36/D36</f>
        <v/>
      </c>
      <c r="G36" s="17" t="inlineStr">
        <is>
          <t>Yes</t>
        </is>
      </c>
      <c r="H36" s="20">
        <f>A36&amp;"|"&amp;C36</f>
        <v/>
      </c>
      <c r="J36" s="16">
        <f>H36</f>
        <v/>
      </c>
      <c r="K36" s="21">
        <f>IF(ISBLANK(F36),"",F36)</f>
        <v/>
      </c>
    </row>
    <row r="37">
      <c r="A37" s="12" t="inlineStr">
        <is>
          <t>Germany</t>
        </is>
      </c>
      <c r="B37" s="12" t="inlineStr">
        <is>
          <t>C17_X_C1711 — Paper excl. pulp</t>
        </is>
      </c>
      <c r="C37" s="12" t="inlineStr">
        <is>
          <t>C17xP</t>
        </is>
      </c>
      <c r="D37" s="13" t="n">
        <v>162640.718</v>
      </c>
      <c r="E37" s="13" t="n">
        <v>66843.89999999999</v>
      </c>
      <c r="F37" s="14">
        <f>E37/D37</f>
        <v/>
      </c>
      <c r="G37" s="12" t="inlineStr">
        <is>
          <t>Yes</t>
        </is>
      </c>
      <c r="H37" s="15">
        <f>A37&amp;"|"&amp;C37</f>
        <v/>
      </c>
      <c r="J37" s="16">
        <f>H37</f>
        <v/>
      </c>
      <c r="K37" s="21">
        <f>IF(ISBLANK(F37),"",F37)</f>
        <v/>
      </c>
    </row>
    <row r="38">
      <c r="A38" s="17" t="inlineStr">
        <is>
          <t>Germany</t>
        </is>
      </c>
      <c r="B38" s="17" t="inlineStr">
        <is>
          <t>C1711 — Pulp only</t>
        </is>
      </c>
      <c r="C38" s="17" t="inlineStr">
        <is>
          <t>C1711</t>
        </is>
      </c>
      <c r="D38" s="18" t="n">
        <v>18621.441</v>
      </c>
      <c r="E38" s="18" t="n">
        <v>2294.1</v>
      </c>
      <c r="F38" s="19">
        <f>E38/D38</f>
        <v/>
      </c>
      <c r="G38" s="17" t="inlineStr">
        <is>
          <t>Yes</t>
        </is>
      </c>
      <c r="H38" s="20">
        <f>A38&amp;"|"&amp;C38</f>
        <v/>
      </c>
      <c r="J38" s="16">
        <f>H38</f>
        <v/>
      </c>
      <c r="K38" s="21">
        <f>IF(ISBLANK(F38),"",F38)</f>
        <v/>
      </c>
    </row>
    <row r="39">
      <c r="A39" s="12" t="inlineStr">
        <is>
          <t>Greece</t>
        </is>
      </c>
      <c r="B39" s="12" t="inlineStr">
        <is>
          <t>C17 — All paper &amp; pulp</t>
        </is>
      </c>
      <c r="C39" s="12" t="inlineStr">
        <is>
          <t>C17</t>
        </is>
      </c>
      <c r="D39" s="13" t="n"/>
      <c r="E39" s="13" t="n">
        <v>942.1</v>
      </c>
      <c r="F39" s="14" t="n"/>
      <c r="G39" s="12" t="inlineStr">
        <is>
          <t>No</t>
        </is>
      </c>
      <c r="H39" s="15">
        <f>A39&amp;"|"&amp;C39</f>
        <v/>
      </c>
      <c r="J39" s="16">
        <f>H39</f>
        <v/>
      </c>
      <c r="K39" s="16">
        <f>IF(ISBLANK(F39),"",F39)</f>
        <v/>
      </c>
    </row>
    <row r="40">
      <c r="A40" s="17" t="inlineStr">
        <is>
          <t>Greece</t>
        </is>
      </c>
      <c r="B40" s="17" t="inlineStr">
        <is>
          <t>C17_X_C1711 — Paper excl. pulp</t>
        </is>
      </c>
      <c r="C40" s="17" t="inlineStr">
        <is>
          <t>C17xP</t>
        </is>
      </c>
      <c r="D40" s="18" t="n"/>
      <c r="E40" s="18" t="n">
        <v>942.1</v>
      </c>
      <c r="F40" s="19" t="n"/>
      <c r="G40" s="17" t="inlineStr">
        <is>
          <t>No</t>
        </is>
      </c>
      <c r="H40" s="20">
        <f>A40&amp;"|"&amp;C40</f>
        <v/>
      </c>
      <c r="J40" s="16">
        <f>H40</f>
        <v/>
      </c>
      <c r="K40" s="16">
        <f>IF(ISBLANK(F40),"",F40)</f>
        <v/>
      </c>
    </row>
    <row r="41">
      <c r="A41" s="12" t="inlineStr">
        <is>
          <t>Greece</t>
        </is>
      </c>
      <c r="B41" s="12" t="inlineStr">
        <is>
          <t>C1711 — Pulp only</t>
        </is>
      </c>
      <c r="C41" s="12" t="inlineStr">
        <is>
          <t>C1711</t>
        </is>
      </c>
      <c r="D41" s="13" t="n"/>
      <c r="E41" s="13" t="n">
        <v>0</v>
      </c>
      <c r="F41" s="14" t="n"/>
      <c r="G41" s="12" t="inlineStr">
        <is>
          <t>No</t>
        </is>
      </c>
      <c r="H41" s="15">
        <f>A41&amp;"|"&amp;C41</f>
        <v/>
      </c>
      <c r="J41" s="16">
        <f>H41</f>
        <v/>
      </c>
      <c r="K41" s="16">
        <f>IF(ISBLANK(F41),"",F41)</f>
        <v/>
      </c>
    </row>
    <row r="42">
      <c r="A42" s="17" t="inlineStr">
        <is>
          <t>Hungary</t>
        </is>
      </c>
      <c r="B42" s="17" t="inlineStr">
        <is>
          <t>C17 — All paper &amp; pulp</t>
        </is>
      </c>
      <c r="C42" s="17" t="inlineStr">
        <is>
          <t>C17</t>
        </is>
      </c>
      <c r="D42" s="18" t="n">
        <v>9160.272000000001</v>
      </c>
      <c r="E42" s="18" t="n">
        <v>2795.4</v>
      </c>
      <c r="F42" s="19">
        <f>E42/D42</f>
        <v/>
      </c>
      <c r="G42" s="17" t="inlineStr">
        <is>
          <t>Yes</t>
        </is>
      </c>
      <c r="H42" s="20">
        <f>A42&amp;"|"&amp;C42</f>
        <v/>
      </c>
      <c r="J42" s="16">
        <f>H42</f>
        <v/>
      </c>
      <c r="K42" s="21">
        <f>IF(ISBLANK(F42),"",F42)</f>
        <v/>
      </c>
    </row>
    <row r="43">
      <c r="A43" s="12" t="inlineStr">
        <is>
          <t>Hungary</t>
        </is>
      </c>
      <c r="B43" s="12" t="inlineStr">
        <is>
          <t>C17_X_C1711 — Paper excl. pulp</t>
        </is>
      </c>
      <c r="C43" s="12" t="inlineStr">
        <is>
          <t>C17xP</t>
        </is>
      </c>
      <c r="D43" s="13" t="n">
        <v>8610.280000000001</v>
      </c>
      <c r="E43" s="13" t="n">
        <v>2685.9</v>
      </c>
      <c r="F43" s="14">
        <f>E43/D43</f>
        <v/>
      </c>
      <c r="G43" s="12" t="inlineStr">
        <is>
          <t>Yes</t>
        </is>
      </c>
      <c r="H43" s="15">
        <f>A43&amp;"|"&amp;C43</f>
        <v/>
      </c>
      <c r="J43" s="16">
        <f>H43</f>
        <v/>
      </c>
      <c r="K43" s="21">
        <f>IF(ISBLANK(F43),"",F43)</f>
        <v/>
      </c>
    </row>
    <row r="44">
      <c r="A44" s="17" t="inlineStr">
        <is>
          <t>Hungary</t>
        </is>
      </c>
      <c r="B44" s="17" t="inlineStr">
        <is>
          <t>C1711 — Pulp only</t>
        </is>
      </c>
      <c r="C44" s="17" t="inlineStr">
        <is>
          <t>C1711</t>
        </is>
      </c>
      <c r="D44" s="18" t="n">
        <v>549.992</v>
      </c>
      <c r="E44" s="18" t="n">
        <v>109.5</v>
      </c>
      <c r="F44" s="19">
        <f>E44/D44</f>
        <v/>
      </c>
      <c r="G44" s="17" t="inlineStr">
        <is>
          <t>Yes</t>
        </is>
      </c>
      <c r="H44" s="20">
        <f>A44&amp;"|"&amp;C44</f>
        <v/>
      </c>
      <c r="J44" s="16">
        <f>H44</f>
        <v/>
      </c>
      <c r="K44" s="21">
        <f>IF(ISBLANK(F44),"",F44)</f>
        <v/>
      </c>
    </row>
    <row r="45">
      <c r="A45" s="12" t="inlineStr">
        <is>
          <t>Ireland</t>
        </is>
      </c>
      <c r="B45" s="12" t="inlineStr">
        <is>
          <t>C17 — All paper &amp; pulp</t>
        </is>
      </c>
      <c r="C45" s="12" t="inlineStr">
        <is>
          <t>C17</t>
        </is>
      </c>
      <c r="D45" s="13" t="n">
        <v>205.417</v>
      </c>
      <c r="E45" s="13" t="n">
        <v>96.40000000000001</v>
      </c>
      <c r="F45" s="14">
        <f>E45/D45</f>
        <v/>
      </c>
      <c r="G45" s="12" t="inlineStr">
        <is>
          <t>Yes</t>
        </is>
      </c>
      <c r="H45" s="15">
        <f>A45&amp;"|"&amp;C45</f>
        <v/>
      </c>
      <c r="J45" s="16">
        <f>H45</f>
        <v/>
      </c>
      <c r="K45" s="21">
        <f>IF(ISBLANK(F45),"",F45)</f>
        <v/>
      </c>
    </row>
    <row r="46">
      <c r="A46" s="17" t="inlineStr">
        <is>
          <t>Ireland</t>
        </is>
      </c>
      <c r="B46" s="17" t="inlineStr">
        <is>
          <t>C17_X_C1711 — Paper excl. pulp</t>
        </is>
      </c>
      <c r="C46" s="17" t="inlineStr">
        <is>
          <t>C17xP</t>
        </is>
      </c>
      <c r="D46" s="18" t="n">
        <v>205.417</v>
      </c>
      <c r="E46" s="18" t="n">
        <v>96.40000000000001</v>
      </c>
      <c r="F46" s="19">
        <f>E46/D46</f>
        <v/>
      </c>
      <c r="G46" s="17" t="inlineStr">
        <is>
          <t>Yes</t>
        </is>
      </c>
      <c r="H46" s="20">
        <f>A46&amp;"|"&amp;C46</f>
        <v/>
      </c>
      <c r="J46" s="16">
        <f>H46</f>
        <v/>
      </c>
      <c r="K46" s="21">
        <f>IF(ISBLANK(F46),"",F46)</f>
        <v/>
      </c>
    </row>
    <row r="47">
      <c r="A47" s="12" t="inlineStr">
        <is>
          <t>Ireland</t>
        </is>
      </c>
      <c r="B47" s="12" t="inlineStr">
        <is>
          <t>C1711 — Pulp only</t>
        </is>
      </c>
      <c r="C47" s="12" t="inlineStr">
        <is>
          <t>C1711</t>
        </is>
      </c>
      <c r="D47" s="13" t="n">
        <v>0</v>
      </c>
      <c r="E47" s="13" t="n">
        <v>0</v>
      </c>
      <c r="F47" s="14" t="n"/>
      <c r="G47" s="12" t="inlineStr">
        <is>
          <t>Yes</t>
        </is>
      </c>
      <c r="H47" s="15">
        <f>A47&amp;"|"&amp;C47</f>
        <v/>
      </c>
      <c r="J47" s="16">
        <f>H47</f>
        <v/>
      </c>
      <c r="K47" s="16">
        <f>IF(ISBLANK(F47),"",F47)</f>
        <v/>
      </c>
    </row>
    <row r="48">
      <c r="A48" s="17" t="inlineStr">
        <is>
          <t>Italy</t>
        </is>
      </c>
      <c r="B48" s="17" t="inlineStr">
        <is>
          <t>C17 — All paper &amp; pulp</t>
        </is>
      </c>
      <c r="C48" s="17" t="inlineStr">
        <is>
          <t>C17</t>
        </is>
      </c>
      <c r="D48" s="18" t="n">
        <v>82726.435</v>
      </c>
      <c r="E48" s="18" t="n">
        <v>57652.2</v>
      </c>
      <c r="F48" s="19">
        <f>E48/D48</f>
        <v/>
      </c>
      <c r="G48" s="17" t="inlineStr">
        <is>
          <t>Yes</t>
        </is>
      </c>
      <c r="H48" s="20">
        <f>A48&amp;"|"&amp;C48</f>
        <v/>
      </c>
      <c r="J48" s="16">
        <f>H48</f>
        <v/>
      </c>
      <c r="K48" s="21">
        <f>IF(ISBLANK(F48),"",F48)</f>
        <v/>
      </c>
    </row>
    <row r="49">
      <c r="A49" s="12" t="inlineStr">
        <is>
          <t>Italy</t>
        </is>
      </c>
      <c r="B49" s="12" t="inlineStr">
        <is>
          <t>C17_X_C1711 — Paper excl. pulp</t>
        </is>
      </c>
      <c r="C49" s="12" t="inlineStr">
        <is>
          <t>C17xP</t>
        </is>
      </c>
      <c r="D49" s="13" t="n">
        <v>40388.192</v>
      </c>
      <c r="E49" s="13" t="n">
        <v>15793.8</v>
      </c>
      <c r="F49" s="14">
        <f>E49/D49</f>
        <v/>
      </c>
      <c r="G49" s="12" t="inlineStr">
        <is>
          <t>Yes</t>
        </is>
      </c>
      <c r="H49" s="15">
        <f>A49&amp;"|"&amp;C49</f>
        <v/>
      </c>
      <c r="J49" s="16">
        <f>H49</f>
        <v/>
      </c>
      <c r="K49" s="21">
        <f>IF(ISBLANK(F49),"",F49)</f>
        <v/>
      </c>
    </row>
    <row r="50">
      <c r="A50" s="17" t="inlineStr">
        <is>
          <t>Italy</t>
        </is>
      </c>
      <c r="B50" s="17" t="inlineStr">
        <is>
          <t>C1711 — Pulp only</t>
        </is>
      </c>
      <c r="C50" s="17" t="inlineStr">
        <is>
          <t>C1711</t>
        </is>
      </c>
      <c r="D50" s="18" t="n">
        <v>42338.243</v>
      </c>
      <c r="E50" s="18" t="n">
        <v>41858.4</v>
      </c>
      <c r="F50" s="19">
        <f>E50/D50</f>
        <v/>
      </c>
      <c r="G50" s="17" t="inlineStr">
        <is>
          <t>Yes</t>
        </is>
      </c>
      <c r="H50" s="20">
        <f>A50&amp;"|"&amp;C50</f>
        <v/>
      </c>
      <c r="J50" s="16">
        <f>H50</f>
        <v/>
      </c>
      <c r="K50" s="21">
        <f>IF(ISBLANK(F50),"",F50)</f>
        <v/>
      </c>
    </row>
    <row r="51">
      <c r="A51" s="12" t="inlineStr">
        <is>
          <t>Latvia</t>
        </is>
      </c>
      <c r="B51" s="12" t="inlineStr">
        <is>
          <t>C17 — All paper &amp; pulp</t>
        </is>
      </c>
      <c r="C51" s="12" t="inlineStr">
        <is>
          <t>C17</t>
        </is>
      </c>
      <c r="D51" s="13" t="n">
        <v>121.075</v>
      </c>
      <c r="E51" s="13" t="n">
        <v>71</v>
      </c>
      <c r="F51" s="14">
        <f>E51/D51</f>
        <v/>
      </c>
      <c r="G51" s="12" t="inlineStr">
        <is>
          <t>Yes</t>
        </is>
      </c>
      <c r="H51" s="15">
        <f>A51&amp;"|"&amp;C51</f>
        <v/>
      </c>
      <c r="J51" s="16">
        <f>H51</f>
        <v/>
      </c>
      <c r="K51" s="21">
        <f>IF(ISBLANK(F51),"",F51)</f>
        <v/>
      </c>
    </row>
    <row r="52">
      <c r="A52" s="17" t="inlineStr">
        <is>
          <t>Latvia</t>
        </is>
      </c>
      <c r="B52" s="17" t="inlineStr">
        <is>
          <t>C17_X_C1711 — Paper excl. pulp</t>
        </is>
      </c>
      <c r="C52" s="17" t="inlineStr">
        <is>
          <t>C17xP</t>
        </is>
      </c>
      <c r="D52" s="18" t="n">
        <v>120.92</v>
      </c>
      <c r="E52" s="18" t="n">
        <v>70.90000000000001</v>
      </c>
      <c r="F52" s="19">
        <f>E52/D52</f>
        <v/>
      </c>
      <c r="G52" s="17" t="inlineStr">
        <is>
          <t>Yes</t>
        </is>
      </c>
      <c r="H52" s="20">
        <f>A52&amp;"|"&amp;C52</f>
        <v/>
      </c>
      <c r="J52" s="16">
        <f>H52</f>
        <v/>
      </c>
      <c r="K52" s="21">
        <f>IF(ISBLANK(F52),"",F52)</f>
        <v/>
      </c>
    </row>
    <row r="53">
      <c r="A53" s="12" t="inlineStr">
        <is>
          <t>Latvia</t>
        </is>
      </c>
      <c r="B53" s="12" t="inlineStr">
        <is>
          <t>C1711 — Pulp only</t>
        </is>
      </c>
      <c r="C53" s="12" t="inlineStr">
        <is>
          <t>C1711</t>
        </is>
      </c>
      <c r="D53" s="13" t="n">
        <v>0.155</v>
      </c>
      <c r="E53" s="13" t="n">
        <v>0.2</v>
      </c>
      <c r="F53" s="14">
        <f>E53/D53</f>
        <v/>
      </c>
      <c r="G53" s="12" t="inlineStr">
        <is>
          <t>Yes</t>
        </is>
      </c>
      <c r="H53" s="15">
        <f>A53&amp;"|"&amp;C53</f>
        <v/>
      </c>
      <c r="J53" s="16">
        <f>H53</f>
        <v/>
      </c>
      <c r="K53" s="21">
        <f>IF(ISBLANK(F53),"",F53)</f>
        <v/>
      </c>
    </row>
    <row r="54">
      <c r="A54" s="17" t="inlineStr">
        <is>
          <t>Lithuania</t>
        </is>
      </c>
      <c r="B54" s="17" t="inlineStr">
        <is>
          <t>C17 — All paper &amp; pulp</t>
        </is>
      </c>
      <c r="C54" s="17" t="inlineStr">
        <is>
          <t>C17</t>
        </is>
      </c>
      <c r="D54" s="18" t="n">
        <v>1891.557</v>
      </c>
      <c r="E54" s="18" t="n">
        <v>399.3</v>
      </c>
      <c r="F54" s="19">
        <f>E54/D54</f>
        <v/>
      </c>
      <c r="G54" s="17" t="inlineStr">
        <is>
          <t>Yes</t>
        </is>
      </c>
      <c r="H54" s="20">
        <f>A54&amp;"|"&amp;C54</f>
        <v/>
      </c>
      <c r="J54" s="16">
        <f>H54</f>
        <v/>
      </c>
      <c r="K54" s="21">
        <f>IF(ISBLANK(F54),"",F54)</f>
        <v/>
      </c>
    </row>
    <row r="55">
      <c r="A55" s="12" t="inlineStr">
        <is>
          <t>Lithuania</t>
        </is>
      </c>
      <c r="B55" s="12" t="inlineStr">
        <is>
          <t>C17_X_C1711 — Paper excl. pulp</t>
        </is>
      </c>
      <c r="C55" s="12" t="inlineStr">
        <is>
          <t>C17xP</t>
        </is>
      </c>
      <c r="D55" s="13" t="n">
        <v>1891.557</v>
      </c>
      <c r="E55" s="13" t="n">
        <v>399.3</v>
      </c>
      <c r="F55" s="14">
        <f>E55/D55</f>
        <v/>
      </c>
      <c r="G55" s="12" t="inlineStr">
        <is>
          <t>Yes</t>
        </is>
      </c>
      <c r="H55" s="15">
        <f>A55&amp;"|"&amp;C55</f>
        <v/>
      </c>
      <c r="J55" s="16">
        <f>H55</f>
        <v/>
      </c>
      <c r="K55" s="21">
        <f>IF(ISBLANK(F55),"",F55)</f>
        <v/>
      </c>
    </row>
    <row r="56">
      <c r="A56" s="17" t="inlineStr">
        <is>
          <t>Lithuania</t>
        </is>
      </c>
      <c r="B56" s="17" t="inlineStr">
        <is>
          <t>C1711 — Pulp only</t>
        </is>
      </c>
      <c r="C56" s="17" t="inlineStr">
        <is>
          <t>C1711</t>
        </is>
      </c>
      <c r="D56" s="18" t="n">
        <v>0</v>
      </c>
      <c r="E56" s="18" t="n">
        <v>0</v>
      </c>
      <c r="F56" s="19" t="n"/>
      <c r="G56" s="17" t="inlineStr">
        <is>
          <t>Yes</t>
        </is>
      </c>
      <c r="H56" s="20">
        <f>A56&amp;"|"&amp;C56</f>
        <v/>
      </c>
      <c r="J56" s="16">
        <f>H56</f>
        <v/>
      </c>
      <c r="K56" s="16">
        <f>IF(ISBLANK(F56),"",F56)</f>
        <v/>
      </c>
    </row>
    <row r="57">
      <c r="A57" s="12" t="inlineStr">
        <is>
          <t>Luxembourg</t>
        </is>
      </c>
      <c r="B57" s="12" t="inlineStr">
        <is>
          <t>C17 — All paper &amp; pulp</t>
        </is>
      </c>
      <c r="C57" s="12" t="inlineStr">
        <is>
          <t>C17</t>
        </is>
      </c>
      <c r="D57" s="13" t="n"/>
      <c r="E57" s="13" t="n">
        <v>0</v>
      </c>
      <c r="F57" s="14" t="n"/>
      <c r="G57" s="12" t="inlineStr">
        <is>
          <t>No</t>
        </is>
      </c>
      <c r="H57" s="15">
        <f>A57&amp;"|"&amp;C57</f>
        <v/>
      </c>
      <c r="J57" s="16">
        <f>H57</f>
        <v/>
      </c>
      <c r="K57" s="16">
        <f>IF(ISBLANK(F57),"",F57)</f>
        <v/>
      </c>
    </row>
    <row r="58">
      <c r="A58" s="17" t="inlineStr">
        <is>
          <t>Luxembourg</t>
        </is>
      </c>
      <c r="B58" s="17" t="inlineStr">
        <is>
          <t>C17_X_C1711 — Paper excl. pulp</t>
        </is>
      </c>
      <c r="C58" s="17" t="inlineStr">
        <is>
          <t>C17xP</t>
        </is>
      </c>
      <c r="D58" s="18" t="n"/>
      <c r="E58" s="18" t="n">
        <v>0</v>
      </c>
      <c r="F58" s="19" t="n"/>
      <c r="G58" s="17" t="inlineStr">
        <is>
          <t>No</t>
        </is>
      </c>
      <c r="H58" s="20">
        <f>A58&amp;"|"&amp;C58</f>
        <v/>
      </c>
      <c r="J58" s="16">
        <f>H58</f>
        <v/>
      </c>
      <c r="K58" s="16">
        <f>IF(ISBLANK(F58),"",F58)</f>
        <v/>
      </c>
    </row>
    <row r="59">
      <c r="A59" s="12" t="inlineStr">
        <is>
          <t>Luxembourg</t>
        </is>
      </c>
      <c r="B59" s="12" t="inlineStr">
        <is>
          <t>C1711 — Pulp only</t>
        </is>
      </c>
      <c r="C59" s="12" t="inlineStr">
        <is>
          <t>C1711</t>
        </is>
      </c>
      <c r="D59" s="13" t="n"/>
      <c r="E59" s="13" t="n">
        <v>0</v>
      </c>
      <c r="F59" s="14" t="n"/>
      <c r="G59" s="12" t="inlineStr">
        <is>
          <t>No</t>
        </is>
      </c>
      <c r="H59" s="15">
        <f>A59&amp;"|"&amp;C59</f>
        <v/>
      </c>
      <c r="J59" s="16">
        <f>H59</f>
        <v/>
      </c>
      <c r="K59" s="16">
        <f>IF(ISBLANK(F59),"",F59)</f>
        <v/>
      </c>
    </row>
    <row r="60">
      <c r="A60" s="17" t="inlineStr">
        <is>
          <t>Malta</t>
        </is>
      </c>
      <c r="B60" s="17" t="inlineStr">
        <is>
          <t>C17 — All paper &amp; pulp</t>
        </is>
      </c>
      <c r="C60" s="17" t="inlineStr">
        <is>
          <t>C17</t>
        </is>
      </c>
      <c r="D60" s="18" t="n">
        <v>30.362</v>
      </c>
      <c r="E60" s="18" t="n">
        <v>16</v>
      </c>
      <c r="F60" s="19">
        <f>E60/D60</f>
        <v/>
      </c>
      <c r="G60" s="17" t="inlineStr">
        <is>
          <t>Yes</t>
        </is>
      </c>
      <c r="H60" s="20">
        <f>A60&amp;"|"&amp;C60</f>
        <v/>
      </c>
      <c r="J60" s="16">
        <f>H60</f>
        <v/>
      </c>
      <c r="K60" s="21">
        <f>IF(ISBLANK(F60),"",F60)</f>
        <v/>
      </c>
    </row>
    <row r="61">
      <c r="A61" s="12" t="inlineStr">
        <is>
          <t>Malta</t>
        </is>
      </c>
      <c r="B61" s="12" t="inlineStr">
        <is>
          <t>C17_X_C1711 — Paper excl. pulp</t>
        </is>
      </c>
      <c r="C61" s="12" t="inlineStr">
        <is>
          <t>C17xP</t>
        </is>
      </c>
      <c r="D61" s="13" t="n">
        <v>30.362</v>
      </c>
      <c r="E61" s="13" t="n">
        <v>16</v>
      </c>
      <c r="F61" s="14">
        <f>E61/D61</f>
        <v/>
      </c>
      <c r="G61" s="12" t="inlineStr">
        <is>
          <t>Yes</t>
        </is>
      </c>
      <c r="H61" s="15">
        <f>A61&amp;"|"&amp;C61</f>
        <v/>
      </c>
      <c r="J61" s="16">
        <f>H61</f>
        <v/>
      </c>
      <c r="K61" s="21">
        <f>IF(ISBLANK(F61),"",F61)</f>
        <v/>
      </c>
    </row>
    <row r="62">
      <c r="A62" s="17" t="inlineStr">
        <is>
          <t>Malta</t>
        </is>
      </c>
      <c r="B62" s="17" t="inlineStr">
        <is>
          <t>C1711 — Pulp only</t>
        </is>
      </c>
      <c r="C62" s="17" t="inlineStr">
        <is>
          <t>C1711</t>
        </is>
      </c>
      <c r="D62" s="18" t="n">
        <v>0</v>
      </c>
      <c r="E62" s="18" t="n">
        <v>0</v>
      </c>
      <c r="F62" s="19" t="n"/>
      <c r="G62" s="17" t="inlineStr">
        <is>
          <t>Yes</t>
        </is>
      </c>
      <c r="H62" s="20">
        <f>A62&amp;"|"&amp;C62</f>
        <v/>
      </c>
      <c r="J62" s="16">
        <f>H62</f>
        <v/>
      </c>
      <c r="K62" s="16">
        <f>IF(ISBLANK(F62),"",F62)</f>
        <v/>
      </c>
    </row>
    <row r="63">
      <c r="A63" s="12" t="inlineStr">
        <is>
          <t>Moldova</t>
        </is>
      </c>
      <c r="B63" s="12" t="inlineStr">
        <is>
          <t>C17 — All paper &amp; pulp</t>
        </is>
      </c>
      <c r="C63" s="12" t="inlineStr">
        <is>
          <t>C17</t>
        </is>
      </c>
      <c r="D63" s="13" t="n">
        <v>64.77200000000001</v>
      </c>
      <c r="E63" s="13" t="n">
        <v>19.7</v>
      </c>
      <c r="F63" s="14">
        <f>E63/D63</f>
        <v/>
      </c>
      <c r="G63" s="12" t="inlineStr">
        <is>
          <t>Yes</t>
        </is>
      </c>
      <c r="H63" s="15">
        <f>A63&amp;"|"&amp;C63</f>
        <v/>
      </c>
      <c r="J63" s="16">
        <f>H63</f>
        <v/>
      </c>
      <c r="K63" s="21">
        <f>IF(ISBLANK(F63),"",F63)</f>
        <v/>
      </c>
    </row>
    <row r="64">
      <c r="A64" s="17" t="inlineStr">
        <is>
          <t>Moldova</t>
        </is>
      </c>
      <c r="B64" s="17" t="inlineStr">
        <is>
          <t>C17_X_C1711 — Paper excl. pulp</t>
        </is>
      </c>
      <c r="C64" s="17" t="inlineStr">
        <is>
          <t>C17xP</t>
        </is>
      </c>
      <c r="D64" s="18" t="n">
        <v>64.77200000000001</v>
      </c>
      <c r="E64" s="18" t="n">
        <v>19.7</v>
      </c>
      <c r="F64" s="19">
        <f>E64/D64</f>
        <v/>
      </c>
      <c r="G64" s="17" t="inlineStr">
        <is>
          <t>Yes</t>
        </is>
      </c>
      <c r="H64" s="20">
        <f>A64&amp;"|"&amp;C64</f>
        <v/>
      </c>
      <c r="J64" s="16">
        <f>H64</f>
        <v/>
      </c>
      <c r="K64" s="21">
        <f>IF(ISBLANK(F64),"",F64)</f>
        <v/>
      </c>
    </row>
    <row r="65">
      <c r="A65" s="12" t="inlineStr">
        <is>
          <t>Moldova</t>
        </is>
      </c>
      <c r="B65" s="12" t="inlineStr">
        <is>
          <t>C1711 — Pulp only</t>
        </is>
      </c>
      <c r="C65" s="12" t="inlineStr">
        <is>
          <t>C1711</t>
        </is>
      </c>
      <c r="D65" s="13" t="n"/>
      <c r="E65" s="13" t="n">
        <v>0</v>
      </c>
      <c r="F65" s="14" t="n"/>
      <c r="G65" s="12" t="inlineStr">
        <is>
          <t>No</t>
        </is>
      </c>
      <c r="H65" s="15">
        <f>A65&amp;"|"&amp;C65</f>
        <v/>
      </c>
      <c r="J65" s="16">
        <f>H65</f>
        <v/>
      </c>
      <c r="K65" s="16">
        <f>IF(ISBLANK(F65),"",F65)</f>
        <v/>
      </c>
    </row>
    <row r="66">
      <c r="A66" s="17" t="inlineStr">
        <is>
          <t>Montenegro</t>
        </is>
      </c>
      <c r="B66" s="17" t="inlineStr">
        <is>
          <t>C17 — All paper &amp; pulp</t>
        </is>
      </c>
      <c r="C66" s="17" t="inlineStr">
        <is>
          <t>C17</t>
        </is>
      </c>
      <c r="D66" s="18" t="n">
        <v>44.145</v>
      </c>
      <c r="E66" s="18" t="n">
        <v>27.9</v>
      </c>
      <c r="F66" s="19">
        <f>E66/D66</f>
        <v/>
      </c>
      <c r="G66" s="17" t="inlineStr">
        <is>
          <t>Yes</t>
        </is>
      </c>
      <c r="H66" s="20">
        <f>A66&amp;"|"&amp;C66</f>
        <v/>
      </c>
      <c r="J66" s="16">
        <f>H66</f>
        <v/>
      </c>
      <c r="K66" s="21">
        <f>IF(ISBLANK(F66),"",F66)</f>
        <v/>
      </c>
    </row>
    <row r="67">
      <c r="A67" s="12" t="inlineStr">
        <is>
          <t>Montenegro</t>
        </is>
      </c>
      <c r="B67" s="12" t="inlineStr">
        <is>
          <t>C17_X_C1711 — Paper excl. pulp</t>
        </is>
      </c>
      <c r="C67" s="12" t="inlineStr">
        <is>
          <t>C17xP</t>
        </is>
      </c>
      <c r="D67" s="13" t="n">
        <v>30.173</v>
      </c>
      <c r="E67" s="13" t="n">
        <v>14</v>
      </c>
      <c r="F67" s="14">
        <f>E67/D67</f>
        <v/>
      </c>
      <c r="G67" s="12" t="inlineStr">
        <is>
          <t>Yes</t>
        </is>
      </c>
      <c r="H67" s="15">
        <f>A67&amp;"|"&amp;C67</f>
        <v/>
      </c>
      <c r="J67" s="16">
        <f>H67</f>
        <v/>
      </c>
      <c r="K67" s="21">
        <f>IF(ISBLANK(F67),"",F67)</f>
        <v/>
      </c>
    </row>
    <row r="68">
      <c r="A68" s="17" t="inlineStr">
        <is>
          <t>Montenegro</t>
        </is>
      </c>
      <c r="B68" s="17" t="inlineStr">
        <is>
          <t>C1711 — Pulp only</t>
        </is>
      </c>
      <c r="C68" s="17" t="inlineStr">
        <is>
          <t>C1711</t>
        </is>
      </c>
      <c r="D68" s="18" t="n">
        <v>13.973</v>
      </c>
      <c r="E68" s="18" t="n">
        <v>14</v>
      </c>
      <c r="F68" s="19">
        <f>E68/D68</f>
        <v/>
      </c>
      <c r="G68" s="17" t="inlineStr">
        <is>
          <t>Yes</t>
        </is>
      </c>
      <c r="H68" s="20">
        <f>A68&amp;"|"&amp;C68</f>
        <v/>
      </c>
      <c r="J68" s="16">
        <f>H68</f>
        <v/>
      </c>
      <c r="K68" s="21">
        <f>IF(ISBLANK(F68),"",F68)</f>
        <v/>
      </c>
    </row>
    <row r="69">
      <c r="A69" s="12" t="inlineStr">
        <is>
          <t>Netherlands</t>
        </is>
      </c>
      <c r="B69" s="12" t="inlineStr">
        <is>
          <t>C17 — All paper &amp; pulp</t>
        </is>
      </c>
      <c r="C69" s="12" t="inlineStr">
        <is>
          <t>C17</t>
        </is>
      </c>
      <c r="D69" s="13" t="n"/>
      <c r="E69" s="13" t="n">
        <v>9870</v>
      </c>
      <c r="F69" s="14" t="n"/>
      <c r="G69" s="12" t="inlineStr">
        <is>
          <t>No</t>
        </is>
      </c>
      <c r="H69" s="15">
        <f>A69&amp;"|"&amp;C69</f>
        <v/>
      </c>
      <c r="J69" s="16">
        <f>H69</f>
        <v/>
      </c>
      <c r="K69" s="16">
        <f>IF(ISBLANK(F69),"",F69)</f>
        <v/>
      </c>
    </row>
    <row r="70">
      <c r="A70" s="17" t="inlineStr">
        <is>
          <t>Netherlands</t>
        </is>
      </c>
      <c r="B70" s="17" t="inlineStr">
        <is>
          <t>C17_X_C1711 — Paper excl. pulp</t>
        </is>
      </c>
      <c r="C70" s="17" t="inlineStr">
        <is>
          <t>C17xP</t>
        </is>
      </c>
      <c r="D70" s="18" t="n"/>
      <c r="E70" s="18" t="n">
        <v>9870</v>
      </c>
      <c r="F70" s="19" t="n"/>
      <c r="G70" s="17" t="inlineStr">
        <is>
          <t>No</t>
        </is>
      </c>
      <c r="H70" s="20">
        <f>A70&amp;"|"&amp;C70</f>
        <v/>
      </c>
      <c r="J70" s="16">
        <f>H70</f>
        <v/>
      </c>
      <c r="K70" s="16">
        <f>IF(ISBLANK(F70),"",F70)</f>
        <v/>
      </c>
    </row>
    <row r="71">
      <c r="A71" s="12" t="inlineStr">
        <is>
          <t>Netherlands</t>
        </is>
      </c>
      <c r="B71" s="12" t="inlineStr">
        <is>
          <t>C1711 — Pulp only</t>
        </is>
      </c>
      <c r="C71" s="12" t="inlineStr">
        <is>
          <t>C1711</t>
        </is>
      </c>
      <c r="D71" s="13" t="n"/>
      <c r="E71" s="13" t="n">
        <v>0</v>
      </c>
      <c r="F71" s="14" t="n"/>
      <c r="G71" s="12" t="inlineStr">
        <is>
          <t>No</t>
        </is>
      </c>
      <c r="H71" s="15">
        <f>A71&amp;"|"&amp;C71</f>
        <v/>
      </c>
      <c r="J71" s="16">
        <f>H71</f>
        <v/>
      </c>
      <c r="K71" s="16">
        <f>IF(ISBLANK(F71),"",F71)</f>
        <v/>
      </c>
    </row>
    <row r="72">
      <c r="A72" s="17" t="inlineStr">
        <is>
          <t>Norway</t>
        </is>
      </c>
      <c r="B72" s="17" t="inlineStr">
        <is>
          <t>C17 — All paper &amp; pulp</t>
        </is>
      </c>
      <c r="C72" s="17" t="inlineStr">
        <is>
          <t>C17</t>
        </is>
      </c>
      <c r="D72" s="18" t="n">
        <v>15050.158</v>
      </c>
      <c r="E72" s="18" t="n">
        <v>1114.2</v>
      </c>
      <c r="F72" s="19">
        <f>E72/D72</f>
        <v/>
      </c>
      <c r="G72" s="17" t="inlineStr">
        <is>
          <t>Yes</t>
        </is>
      </c>
      <c r="H72" s="20">
        <f>A72&amp;"|"&amp;C72</f>
        <v/>
      </c>
      <c r="J72" s="16">
        <f>H72</f>
        <v/>
      </c>
      <c r="K72" s="21">
        <f>IF(ISBLANK(F72),"",F72)</f>
        <v/>
      </c>
    </row>
    <row r="73">
      <c r="A73" s="12" t="inlineStr">
        <is>
          <t>Norway</t>
        </is>
      </c>
      <c r="B73" s="12" t="inlineStr">
        <is>
          <t>C17_X_C1711 — Paper excl. pulp</t>
        </is>
      </c>
      <c r="C73" s="12" t="inlineStr">
        <is>
          <t>C17xP</t>
        </is>
      </c>
      <c r="D73" s="13" t="n">
        <v>11440.082</v>
      </c>
      <c r="E73" s="13" t="n">
        <v>468.4</v>
      </c>
      <c r="F73" s="14">
        <f>E73/D73</f>
        <v/>
      </c>
      <c r="G73" s="12" t="inlineStr">
        <is>
          <t>Yes</t>
        </is>
      </c>
      <c r="H73" s="15">
        <f>A73&amp;"|"&amp;C73</f>
        <v/>
      </c>
      <c r="J73" s="16">
        <f>H73</f>
        <v/>
      </c>
      <c r="K73" s="21">
        <f>IF(ISBLANK(F73),"",F73)</f>
        <v/>
      </c>
    </row>
    <row r="74">
      <c r="A74" s="17" t="inlineStr">
        <is>
          <t>Norway</t>
        </is>
      </c>
      <c r="B74" s="17" t="inlineStr">
        <is>
          <t>C1711 — Pulp only</t>
        </is>
      </c>
      <c r="C74" s="17" t="inlineStr">
        <is>
          <t>C1711</t>
        </is>
      </c>
      <c r="D74" s="18" t="n">
        <v>3610.076</v>
      </c>
      <c r="E74" s="18" t="n">
        <v>645.8</v>
      </c>
      <c r="F74" s="19">
        <f>E74/D74</f>
        <v/>
      </c>
      <c r="G74" s="17" t="inlineStr">
        <is>
          <t>Yes</t>
        </is>
      </c>
      <c r="H74" s="20">
        <f>A74&amp;"|"&amp;C74</f>
        <v/>
      </c>
      <c r="J74" s="16">
        <f>H74</f>
        <v/>
      </c>
      <c r="K74" s="21">
        <f>IF(ISBLANK(F74),"",F74)</f>
        <v/>
      </c>
    </row>
    <row r="75">
      <c r="A75" s="12" t="inlineStr">
        <is>
          <t>Poland</t>
        </is>
      </c>
      <c r="B75" s="12" t="inlineStr">
        <is>
          <t>C17 — All paper &amp; pulp</t>
        </is>
      </c>
      <c r="C75" s="12" t="inlineStr">
        <is>
          <t>C17</t>
        </is>
      </c>
      <c r="D75" s="13" t="n">
        <v>59148.791</v>
      </c>
      <c r="E75" s="13" t="n">
        <v>14365.3</v>
      </c>
      <c r="F75" s="14">
        <f>E75/D75</f>
        <v/>
      </c>
      <c r="G75" s="12" t="inlineStr">
        <is>
          <t>Yes</t>
        </is>
      </c>
      <c r="H75" s="15">
        <f>A75&amp;"|"&amp;C75</f>
        <v/>
      </c>
      <c r="J75" s="16">
        <f>H75</f>
        <v/>
      </c>
      <c r="K75" s="21">
        <f>IF(ISBLANK(F75),"",F75)</f>
        <v/>
      </c>
    </row>
    <row r="76">
      <c r="A76" s="17" t="inlineStr">
        <is>
          <t>Poland</t>
        </is>
      </c>
      <c r="B76" s="17" t="inlineStr">
        <is>
          <t>C17_X_C1711 — Paper excl. pulp</t>
        </is>
      </c>
      <c r="C76" s="17" t="inlineStr">
        <is>
          <t>C17xP</t>
        </is>
      </c>
      <c r="D76" s="18" t="n">
        <v>57598.697</v>
      </c>
      <c r="E76" s="18" t="n">
        <v>13692.7</v>
      </c>
      <c r="F76" s="19">
        <f>E76/D76</f>
        <v/>
      </c>
      <c r="G76" s="17" t="inlineStr">
        <is>
          <t>Yes</t>
        </is>
      </c>
      <c r="H76" s="20">
        <f>A76&amp;"|"&amp;C76</f>
        <v/>
      </c>
      <c r="J76" s="16">
        <f>H76</f>
        <v/>
      </c>
      <c r="K76" s="21">
        <f>IF(ISBLANK(F76),"",F76)</f>
        <v/>
      </c>
    </row>
    <row r="77">
      <c r="A77" s="12" t="inlineStr">
        <is>
          <t>Poland</t>
        </is>
      </c>
      <c r="B77" s="12" t="inlineStr">
        <is>
          <t>C1711 — Pulp only</t>
        </is>
      </c>
      <c r="C77" s="12" t="inlineStr">
        <is>
          <t>C1711</t>
        </is>
      </c>
      <c r="D77" s="13" t="n">
        <v>1550.094</v>
      </c>
      <c r="E77" s="13" t="n">
        <v>672.6</v>
      </c>
      <c r="F77" s="14">
        <f>E77/D77</f>
        <v/>
      </c>
      <c r="G77" s="12" t="inlineStr">
        <is>
          <t>Yes</t>
        </is>
      </c>
      <c r="H77" s="15">
        <f>A77&amp;"|"&amp;C77</f>
        <v/>
      </c>
      <c r="J77" s="16">
        <f>H77</f>
        <v/>
      </c>
      <c r="K77" s="21">
        <f>IF(ISBLANK(F77),"",F77)</f>
        <v/>
      </c>
    </row>
    <row r="78">
      <c r="A78" s="17" t="inlineStr">
        <is>
          <t>Portugal</t>
        </is>
      </c>
      <c r="B78" s="17" t="inlineStr">
        <is>
          <t>C17 — All paper &amp; pulp</t>
        </is>
      </c>
      <c r="C78" s="17" t="inlineStr">
        <is>
          <t>C17</t>
        </is>
      </c>
      <c r="D78" s="18" t="n">
        <v>53802.848</v>
      </c>
      <c r="E78" s="18" t="n">
        <v>7561.1</v>
      </c>
      <c r="F78" s="19">
        <f>E78/D78</f>
        <v/>
      </c>
      <c r="G78" s="17" t="inlineStr">
        <is>
          <t>Yes</t>
        </is>
      </c>
      <c r="H78" s="20">
        <f>A78&amp;"|"&amp;C78</f>
        <v/>
      </c>
      <c r="J78" s="16">
        <f>H78</f>
        <v/>
      </c>
      <c r="K78" s="21">
        <f>IF(ISBLANK(F78),"",F78)</f>
        <v/>
      </c>
    </row>
    <row r="79">
      <c r="A79" s="12" t="inlineStr">
        <is>
          <t>Portugal</t>
        </is>
      </c>
      <c r="B79" s="12" t="inlineStr">
        <is>
          <t>C17_X_C1711 — Paper excl. pulp</t>
        </is>
      </c>
      <c r="C79" s="12" t="inlineStr">
        <is>
          <t>C17xP</t>
        </is>
      </c>
      <c r="D79" s="13" t="n">
        <v>8440.673000000001</v>
      </c>
      <c r="E79" s="13" t="n">
        <v>3854</v>
      </c>
      <c r="F79" s="14">
        <f>E79/D79</f>
        <v/>
      </c>
      <c r="G79" s="12" t="inlineStr">
        <is>
          <t>Yes</t>
        </is>
      </c>
      <c r="H79" s="15">
        <f>A79&amp;"|"&amp;C79</f>
        <v/>
      </c>
      <c r="J79" s="16">
        <f>H79</f>
        <v/>
      </c>
      <c r="K79" s="21">
        <f>IF(ISBLANK(F79),"",F79)</f>
        <v/>
      </c>
    </row>
    <row r="80">
      <c r="A80" s="17" t="inlineStr">
        <is>
          <t>Portugal</t>
        </is>
      </c>
      <c r="B80" s="17" t="inlineStr">
        <is>
          <t>C1711 — Pulp only</t>
        </is>
      </c>
      <c r="C80" s="17" t="inlineStr">
        <is>
          <t>C1711</t>
        </is>
      </c>
      <c r="D80" s="18" t="n">
        <v>45362.175</v>
      </c>
      <c r="E80" s="18" t="n">
        <v>3707</v>
      </c>
      <c r="F80" s="19">
        <f>E80/D80</f>
        <v/>
      </c>
      <c r="G80" s="17" t="inlineStr">
        <is>
          <t>Yes</t>
        </is>
      </c>
      <c r="H80" s="20">
        <f>A80&amp;"|"&amp;C80</f>
        <v/>
      </c>
      <c r="J80" s="16">
        <f>H80</f>
        <v/>
      </c>
      <c r="K80" s="21">
        <f>IF(ISBLANK(F80),"",F80)</f>
        <v/>
      </c>
    </row>
    <row r="81">
      <c r="A81" s="12" t="inlineStr">
        <is>
          <t>Romania</t>
        </is>
      </c>
      <c r="B81" s="12" t="inlineStr">
        <is>
          <t>C17 — All paper &amp; pulp</t>
        </is>
      </c>
      <c r="C81" s="12" t="inlineStr">
        <is>
          <t>C17</t>
        </is>
      </c>
      <c r="D81" s="13" t="n">
        <v>5484.239</v>
      </c>
      <c r="E81" s="13" t="n">
        <v>2482.6</v>
      </c>
      <c r="F81" s="14">
        <f>E81/D81</f>
        <v/>
      </c>
      <c r="G81" s="12" t="inlineStr">
        <is>
          <t>Yes</t>
        </is>
      </c>
      <c r="H81" s="15">
        <f>A81&amp;"|"&amp;C81</f>
        <v/>
      </c>
      <c r="J81" s="16">
        <f>H81</f>
        <v/>
      </c>
      <c r="K81" s="21">
        <f>IF(ISBLANK(F81),"",F81)</f>
        <v/>
      </c>
    </row>
    <row r="82">
      <c r="A82" s="17" t="inlineStr">
        <is>
          <t>Romania</t>
        </is>
      </c>
      <c r="B82" s="17" t="inlineStr">
        <is>
          <t>C17_X_C1711 — Paper excl. pulp</t>
        </is>
      </c>
      <c r="C82" s="17" t="inlineStr">
        <is>
          <t>C17xP</t>
        </is>
      </c>
      <c r="D82" s="18" t="n">
        <v>5484.239</v>
      </c>
      <c r="E82" s="18" t="n">
        <v>2482.6</v>
      </c>
      <c r="F82" s="19">
        <f>E82/D82</f>
        <v/>
      </c>
      <c r="G82" s="17" t="inlineStr">
        <is>
          <t>Yes</t>
        </is>
      </c>
      <c r="H82" s="20">
        <f>A82&amp;"|"&amp;C82</f>
        <v/>
      </c>
      <c r="J82" s="16">
        <f>H82</f>
        <v/>
      </c>
      <c r="K82" s="21">
        <f>IF(ISBLANK(F82),"",F82)</f>
        <v/>
      </c>
    </row>
    <row r="83">
      <c r="A83" s="12" t="inlineStr">
        <is>
          <t>Romania</t>
        </is>
      </c>
      <c r="B83" s="12" t="inlineStr">
        <is>
          <t>C1711 — Pulp only</t>
        </is>
      </c>
      <c r="C83" s="12" t="inlineStr">
        <is>
          <t>C1711</t>
        </is>
      </c>
      <c r="D83" s="13" t="n">
        <v>0</v>
      </c>
      <c r="E83" s="13" t="n">
        <v>0</v>
      </c>
      <c r="F83" s="14" t="n"/>
      <c r="G83" s="12" t="inlineStr">
        <is>
          <t>Yes</t>
        </is>
      </c>
      <c r="H83" s="15">
        <f>A83&amp;"|"&amp;C83</f>
        <v/>
      </c>
      <c r="J83" s="16">
        <f>H83</f>
        <v/>
      </c>
      <c r="K83" s="16">
        <f>IF(ISBLANK(F83),"",F83)</f>
        <v/>
      </c>
    </row>
    <row r="84">
      <c r="A84" s="17" t="inlineStr">
        <is>
          <t>Serbia</t>
        </is>
      </c>
      <c r="B84" s="17" t="inlineStr">
        <is>
          <t>C17 — All paper &amp; pulp</t>
        </is>
      </c>
      <c r="C84" s="17" t="inlineStr">
        <is>
          <t>C17</t>
        </is>
      </c>
      <c r="D84" s="18" t="n">
        <v>4664.987</v>
      </c>
      <c r="E84" s="18" t="n">
        <v>1626.4</v>
      </c>
      <c r="F84" s="19">
        <f>E84/D84</f>
        <v/>
      </c>
      <c r="G84" s="17" t="inlineStr">
        <is>
          <t>Yes</t>
        </is>
      </c>
      <c r="H84" s="20">
        <f>A84&amp;"|"&amp;C84</f>
        <v/>
      </c>
      <c r="J84" s="16">
        <f>H84</f>
        <v/>
      </c>
      <c r="K84" s="21">
        <f>IF(ISBLANK(F84),"",F84)</f>
        <v/>
      </c>
    </row>
    <row r="85">
      <c r="A85" s="12" t="inlineStr">
        <is>
          <t>Serbia</t>
        </is>
      </c>
      <c r="B85" s="12" t="inlineStr">
        <is>
          <t>C17_X_C1711 — Paper excl. pulp</t>
        </is>
      </c>
      <c r="C85" s="12" t="inlineStr">
        <is>
          <t>C17xP</t>
        </is>
      </c>
      <c r="D85" s="13" t="n">
        <v>4664.987</v>
      </c>
      <c r="E85" s="13" t="n">
        <v>1626.4</v>
      </c>
      <c r="F85" s="14">
        <f>E85/D85</f>
        <v/>
      </c>
      <c r="G85" s="12" t="inlineStr">
        <is>
          <t>Yes</t>
        </is>
      </c>
      <c r="H85" s="15">
        <f>A85&amp;"|"&amp;C85</f>
        <v/>
      </c>
      <c r="J85" s="16">
        <f>H85</f>
        <v/>
      </c>
      <c r="K85" s="21">
        <f>IF(ISBLANK(F85),"",F85)</f>
        <v/>
      </c>
    </row>
    <row r="86">
      <c r="A86" s="17" t="inlineStr">
        <is>
          <t>Serbia</t>
        </is>
      </c>
      <c r="B86" s="17" t="inlineStr">
        <is>
          <t>C1711 — Pulp only</t>
        </is>
      </c>
      <c r="C86" s="17" t="inlineStr">
        <is>
          <t>C1711</t>
        </is>
      </c>
      <c r="D86" s="18" t="n">
        <v>0</v>
      </c>
      <c r="E86" s="18" t="n">
        <v>0</v>
      </c>
      <c r="F86" s="19" t="n"/>
      <c r="G86" s="17" t="inlineStr">
        <is>
          <t>Yes</t>
        </is>
      </c>
      <c r="H86" s="20">
        <f>A86&amp;"|"&amp;C86</f>
        <v/>
      </c>
      <c r="J86" s="16">
        <f>H86</f>
        <v/>
      </c>
      <c r="K86" s="16">
        <f>IF(ISBLANK(F86),"",F86)</f>
        <v/>
      </c>
    </row>
    <row r="87">
      <c r="A87" s="12" t="inlineStr">
        <is>
          <t>Slovakia</t>
        </is>
      </c>
      <c r="B87" s="12" t="inlineStr">
        <is>
          <t>C17 — All paper &amp; pulp</t>
        </is>
      </c>
      <c r="C87" s="12" t="inlineStr">
        <is>
          <t>C17</t>
        </is>
      </c>
      <c r="D87" s="13" t="n">
        <v>15114.9</v>
      </c>
      <c r="E87" s="13" t="n">
        <v>1350.9</v>
      </c>
      <c r="F87" s="14">
        <f>E87/D87</f>
        <v/>
      </c>
      <c r="G87" s="12" t="inlineStr">
        <is>
          <t>Yes</t>
        </is>
      </c>
      <c r="H87" s="15">
        <f>A87&amp;"|"&amp;C87</f>
        <v/>
      </c>
      <c r="J87" s="16">
        <f>H87</f>
        <v/>
      </c>
      <c r="K87" s="21">
        <f>IF(ISBLANK(F87),"",F87)</f>
        <v/>
      </c>
    </row>
    <row r="88">
      <c r="A88" s="17" t="inlineStr">
        <is>
          <t>Slovakia</t>
        </is>
      </c>
      <c r="B88" s="17" t="inlineStr">
        <is>
          <t>C17_X_C1711 — Paper excl. pulp</t>
        </is>
      </c>
      <c r="C88" s="17" t="inlineStr">
        <is>
          <t>C17xP</t>
        </is>
      </c>
      <c r="D88" s="18" t="n"/>
      <c r="E88" s="18" t="n">
        <v>0</v>
      </c>
      <c r="F88" s="19" t="n"/>
      <c r="G88" s="17" t="inlineStr">
        <is>
          <t>No</t>
        </is>
      </c>
      <c r="H88" s="20">
        <f>A88&amp;"|"&amp;C88</f>
        <v/>
      </c>
      <c r="J88" s="16">
        <f>H88</f>
        <v/>
      </c>
      <c r="K88" s="16">
        <f>IF(ISBLANK(F88),"",F88)</f>
        <v/>
      </c>
    </row>
    <row r="89">
      <c r="A89" s="12" t="inlineStr">
        <is>
          <t>Slovakia</t>
        </is>
      </c>
      <c r="B89" s="12" t="inlineStr">
        <is>
          <t>C1711 — Pulp only</t>
        </is>
      </c>
      <c r="C89" s="12" t="inlineStr">
        <is>
          <t>C1711</t>
        </is>
      </c>
      <c r="D89" s="13" t="n"/>
      <c r="E89" s="13" t="n">
        <v>0</v>
      </c>
      <c r="F89" s="14" t="n"/>
      <c r="G89" s="12" t="inlineStr">
        <is>
          <t>No</t>
        </is>
      </c>
      <c r="H89" s="15">
        <f>A89&amp;"|"&amp;C89</f>
        <v/>
      </c>
      <c r="J89" s="16">
        <f>H89</f>
        <v/>
      </c>
      <c r="K89" s="16">
        <f>IF(ISBLANK(F89),"",F89)</f>
        <v/>
      </c>
    </row>
    <row r="90">
      <c r="A90" s="17" t="inlineStr">
        <is>
          <t>Slovenia</t>
        </is>
      </c>
      <c r="B90" s="17" t="inlineStr">
        <is>
          <t>C17 — All paper &amp; pulp</t>
        </is>
      </c>
      <c r="C90" s="17" t="inlineStr">
        <is>
          <t>C17</t>
        </is>
      </c>
      <c r="D90" s="18" t="n">
        <v>4686.014</v>
      </c>
      <c r="E90" s="18" t="n">
        <v>2843.2</v>
      </c>
      <c r="F90" s="19">
        <f>E90/D90</f>
        <v/>
      </c>
      <c r="G90" s="17" t="inlineStr">
        <is>
          <t>Yes</t>
        </is>
      </c>
      <c r="H90" s="20">
        <f>A90&amp;"|"&amp;C90</f>
        <v/>
      </c>
      <c r="J90" s="16">
        <f>H90</f>
        <v/>
      </c>
      <c r="K90" s="21">
        <f>IF(ISBLANK(F90),"",F90)</f>
        <v/>
      </c>
    </row>
    <row r="91">
      <c r="A91" s="12" t="inlineStr">
        <is>
          <t>Slovenia</t>
        </is>
      </c>
      <c r="B91" s="12" t="inlineStr">
        <is>
          <t>C17_X_C1711 — Paper excl. pulp</t>
        </is>
      </c>
      <c r="C91" s="12" t="inlineStr">
        <is>
          <t>C17xP</t>
        </is>
      </c>
      <c r="D91" s="13" t="n"/>
      <c r="E91" s="13" t="n">
        <v>2817</v>
      </c>
      <c r="F91" s="14" t="n"/>
      <c r="G91" s="12" t="inlineStr">
        <is>
          <t>No</t>
        </is>
      </c>
      <c r="H91" s="15">
        <f>A91&amp;"|"&amp;C91</f>
        <v/>
      </c>
      <c r="J91" s="16">
        <f>H91</f>
        <v/>
      </c>
      <c r="K91" s="16">
        <f>IF(ISBLANK(F91),"",F91)</f>
        <v/>
      </c>
    </row>
    <row r="92">
      <c r="A92" s="17" t="inlineStr">
        <is>
          <t>Slovenia</t>
        </is>
      </c>
      <c r="B92" s="17" t="inlineStr">
        <is>
          <t>C1711 — Pulp only</t>
        </is>
      </c>
      <c r="C92" s="17" t="inlineStr">
        <is>
          <t>C1711</t>
        </is>
      </c>
      <c r="D92" s="18" t="n"/>
      <c r="E92" s="18" t="n">
        <v>26.2</v>
      </c>
      <c r="F92" s="19" t="n"/>
      <c r="G92" s="17" t="inlineStr">
        <is>
          <t>No</t>
        </is>
      </c>
      <c r="H92" s="20">
        <f>A92&amp;"|"&amp;C92</f>
        <v/>
      </c>
      <c r="J92" s="16">
        <f>H92</f>
        <v/>
      </c>
      <c r="K92" s="16">
        <f>IF(ISBLANK(F92),"",F92)</f>
        <v/>
      </c>
    </row>
    <row r="93">
      <c r="A93" s="12" t="inlineStr">
        <is>
          <t>Spain</t>
        </is>
      </c>
      <c r="B93" s="12" t="inlineStr">
        <is>
          <t>C17 — All paper &amp; pulp</t>
        </is>
      </c>
      <c r="C93" s="12" t="inlineStr">
        <is>
          <t>C17</t>
        </is>
      </c>
      <c r="D93" s="13" t="n">
        <v>72398.777</v>
      </c>
      <c r="E93" s="13" t="n">
        <v>24178</v>
      </c>
      <c r="F93" s="14">
        <f>E93/D93</f>
        <v/>
      </c>
      <c r="G93" s="12" t="inlineStr">
        <is>
          <t>Yes</t>
        </is>
      </c>
      <c r="H93" s="15">
        <f>A93&amp;"|"&amp;C93</f>
        <v/>
      </c>
      <c r="J93" s="16">
        <f>H93</f>
        <v/>
      </c>
      <c r="K93" s="21">
        <f>IF(ISBLANK(F93),"",F93)</f>
        <v/>
      </c>
    </row>
    <row r="94">
      <c r="A94" s="17" t="inlineStr">
        <is>
          <t>Spain</t>
        </is>
      </c>
      <c r="B94" s="17" t="inlineStr">
        <is>
          <t>C17_X_C1711 — Paper excl. pulp</t>
        </is>
      </c>
      <c r="C94" s="17" t="inlineStr">
        <is>
          <t>C17xP</t>
        </is>
      </c>
      <c r="D94" s="18" t="n">
        <v>58973.151</v>
      </c>
      <c r="E94" s="18" t="n">
        <v>14998.1</v>
      </c>
      <c r="F94" s="19">
        <f>E94/D94</f>
        <v/>
      </c>
      <c r="G94" s="17" t="inlineStr">
        <is>
          <t>Yes</t>
        </is>
      </c>
      <c r="H94" s="20">
        <f>A94&amp;"|"&amp;C94</f>
        <v/>
      </c>
      <c r="J94" s="16">
        <f>H94</f>
        <v/>
      </c>
      <c r="K94" s="21">
        <f>IF(ISBLANK(F94),"",F94)</f>
        <v/>
      </c>
    </row>
    <row r="95">
      <c r="A95" s="12" t="inlineStr">
        <is>
          <t>Spain</t>
        </is>
      </c>
      <c r="B95" s="12" t="inlineStr">
        <is>
          <t>C1711 — Pulp only</t>
        </is>
      </c>
      <c r="C95" s="12" t="inlineStr">
        <is>
          <t>C1711</t>
        </is>
      </c>
      <c r="D95" s="13" t="n">
        <v>13425.626</v>
      </c>
      <c r="E95" s="13" t="n">
        <v>9180</v>
      </c>
      <c r="F95" s="14">
        <f>E95/D95</f>
        <v/>
      </c>
      <c r="G95" s="12" t="inlineStr">
        <is>
          <t>Yes</t>
        </is>
      </c>
      <c r="H95" s="15">
        <f>A95&amp;"|"&amp;C95</f>
        <v/>
      </c>
      <c r="J95" s="16">
        <f>H95</f>
        <v/>
      </c>
      <c r="K95" s="21">
        <f>IF(ISBLANK(F95),"",F95)</f>
        <v/>
      </c>
    </row>
    <row r="96">
      <c r="A96" s="17" t="inlineStr">
        <is>
          <t>Sweden</t>
        </is>
      </c>
      <c r="B96" s="17" t="inlineStr">
        <is>
          <t>C17 — All paper &amp; pulp</t>
        </is>
      </c>
      <c r="C96" s="17" t="inlineStr">
        <is>
          <t>C17</t>
        </is>
      </c>
      <c r="D96" s="18" t="n">
        <v>258003.456</v>
      </c>
      <c r="E96" s="18" t="n">
        <v>7062.4</v>
      </c>
      <c r="F96" s="19">
        <f>E96/D96</f>
        <v/>
      </c>
      <c r="G96" s="17" t="inlineStr">
        <is>
          <t>Yes</t>
        </is>
      </c>
      <c r="H96" s="20">
        <f>A96&amp;"|"&amp;C96</f>
        <v/>
      </c>
      <c r="J96" s="16">
        <f>H96</f>
        <v/>
      </c>
      <c r="K96" s="21">
        <f>IF(ISBLANK(F96),"",F96)</f>
        <v/>
      </c>
    </row>
    <row r="97">
      <c r="A97" s="12" t="inlineStr">
        <is>
          <t>Sweden</t>
        </is>
      </c>
      <c r="B97" s="12" t="inlineStr">
        <is>
          <t>C17_X_C1711 — Paper excl. pulp</t>
        </is>
      </c>
      <c r="C97" s="12" t="inlineStr">
        <is>
          <t>C17xP</t>
        </is>
      </c>
      <c r="D97" s="13" t="n">
        <v>148816.629</v>
      </c>
      <c r="E97" s="13" t="n">
        <v>4847.8</v>
      </c>
      <c r="F97" s="14">
        <f>E97/D97</f>
        <v/>
      </c>
      <c r="G97" s="12" t="inlineStr">
        <is>
          <t>Yes</t>
        </is>
      </c>
      <c r="H97" s="15">
        <f>A97&amp;"|"&amp;C97</f>
        <v/>
      </c>
      <c r="J97" s="16">
        <f>H97</f>
        <v/>
      </c>
      <c r="K97" s="21">
        <f>IF(ISBLANK(F97),"",F97)</f>
        <v/>
      </c>
    </row>
    <row r="98">
      <c r="A98" s="17" t="inlineStr">
        <is>
          <t>Sweden</t>
        </is>
      </c>
      <c r="B98" s="17" t="inlineStr">
        <is>
          <t>C1711 — Pulp only</t>
        </is>
      </c>
      <c r="C98" s="17" t="inlineStr">
        <is>
          <t>C1711</t>
        </is>
      </c>
      <c r="D98" s="18" t="n">
        <v>109186.827</v>
      </c>
      <c r="E98" s="18" t="n">
        <v>2214.6</v>
      </c>
      <c r="F98" s="19">
        <f>E98/D98</f>
        <v/>
      </c>
      <c r="G98" s="17" t="inlineStr">
        <is>
          <t>Yes</t>
        </is>
      </c>
      <c r="H98" s="20">
        <f>A98&amp;"|"&amp;C98</f>
        <v/>
      </c>
      <c r="J98" s="16">
        <f>H98</f>
        <v/>
      </c>
      <c r="K98" s="21">
        <f>IF(ISBLANK(F98),"",F98)</f>
        <v/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0"/>
  <sheetViews>
    <sheetView showGridLines="0" tabSelected="1" zoomScale="161" zoomScaleNormal="100" workbookViewId="0">
      <pane xSplit="4" ySplit="2" topLeftCell="G3" activePane="bottomRight" state="frozen"/>
      <selection pane="topRight" activeCell="E1" sqref="E1"/>
      <selection pane="bottomLeft" activeCell="A3" sqref="A3"/>
      <selection pane="bottomRight" activeCell="L6" sqref="L6"/>
    </sheetView>
  </sheetViews>
  <sheetFormatPr baseColWidth="10" defaultColWidth="8.6640625" defaultRowHeight="15"/>
  <cols>
    <col width="9" customWidth="1" style="80" min="1" max="1"/>
    <col width="42" customWidth="1" style="80" min="2" max="2"/>
    <col width="14" customWidth="1" style="80" min="3" max="3"/>
    <col width="12" customWidth="1" style="80" min="4" max="4"/>
    <col width="7" customWidth="1" style="80" min="5" max="5"/>
    <col width="12" customWidth="1" style="80" min="6" max="6"/>
    <col width="8" customWidth="1" style="80" min="7" max="7"/>
    <col width="9" customWidth="1" style="80" min="8" max="8"/>
    <col width="11" customWidth="1" style="80" min="9" max="9"/>
    <col width="13" customWidth="1" style="80" min="10" max="10"/>
    <col width="10" customWidth="1" style="80" min="11" max="11"/>
    <col width="14" customWidth="1" style="80" min="12" max="12"/>
    <col width="15" customWidth="1" style="80" min="13" max="13"/>
    <col width="7" customWidth="1" style="80" min="14" max="14"/>
    <col width="22" customWidth="1" style="80" min="15" max="15"/>
    <col width="18" customWidth="1" style="80" min="16" max="16"/>
    <col width="46" customWidth="1" style="80" min="17" max="17"/>
  </cols>
  <sheetData>
    <row r="1" ht="27.75" customHeight="1" s="80">
      <c r="A1" s="79" t="inlineStr">
        <is>
          <t>Facilities — formula-driven (heat = output × SEC; replaceable = heat × fossil share × replace frac)</t>
        </is>
      </c>
    </row>
    <row r="2" ht="39.75" customHeight="1" s="80">
      <c r="A2" s="6" t="inlineStr">
        <is>
          <t>source_id</t>
        </is>
      </c>
      <c r="B2" s="6" t="inlineStr">
        <is>
          <t>source_name</t>
        </is>
      </c>
      <c r="C2" s="6" t="inlineStr">
        <is>
          <t>country_corrected</t>
        </is>
      </c>
      <c r="D2" s="6" t="inlineStr">
        <is>
          <t>classification</t>
        </is>
      </c>
      <c r="E2" s="6" t="inlineStr">
        <is>
          <t>nace_used</t>
        </is>
      </c>
      <c r="F2" s="6" t="inlineStr">
        <is>
          <t>annual_output_t</t>
        </is>
      </c>
      <c r="G2" s="6" t="inlineStr">
        <is>
          <t>proxy_capacity</t>
        </is>
      </c>
      <c r="H2" s="6" t="inlineStr">
        <is>
          <t>SEC (MWh/t)</t>
        </is>
      </c>
      <c r="I2" s="6" t="inlineStr">
        <is>
          <t>Fossil Share</t>
        </is>
      </c>
      <c r="J2" s="6" t="inlineStr">
        <is>
          <t>FS Source</t>
        </is>
      </c>
      <c r="K2" s="6" t="inlineStr">
        <is>
          <t>Replace Frac</t>
        </is>
      </c>
      <c r="L2" s="6" t="inlineStr">
        <is>
          <t>Heat Demand (MWh)</t>
        </is>
      </c>
      <c r="M2" s="6" t="inlineStr">
        <is>
          <t>Replaceable (MWh)</t>
        </is>
      </c>
      <c r="N2" s="6" t="inlineStr">
        <is>
          <t>keep?</t>
        </is>
      </c>
      <c r="O2" s="6" t="inlineStr">
        <is>
          <t>status_flag</t>
        </is>
      </c>
      <c r="P2" s="6" t="inlineStr">
        <is>
          <t>lookup_key</t>
        </is>
      </c>
      <c r="Q2" s="6" t="inlineStr">
        <is>
          <t>justification</t>
        </is>
      </c>
    </row>
    <row r="3">
      <c r="A3" s="22" t="n">
        <v>44375330</v>
      </c>
      <c r="B3" s="23" t="inlineStr">
        <is>
          <t>Mondi Neusiedler Pulp Mill</t>
        </is>
      </c>
      <c r="C3" s="23" t="inlineStr">
        <is>
          <t>Austria</t>
        </is>
      </c>
      <c r="D3" s="24" t="inlineStr">
        <is>
          <t>Integrated</t>
        </is>
      </c>
      <c r="E3" s="22" t="inlineStr">
        <is>
          <t>C17</t>
        </is>
      </c>
      <c r="F3" s="25" t="n">
        <v>260039.19997</v>
      </c>
      <c r="G3" s="26" t="inlineStr">
        <is>
          <t>PROXY</t>
        </is>
      </c>
      <c r="H3" s="27">
        <f>VLOOKUP(D3,Parameters!$A$5:$B$8,2,FALSE())</f>
        <v/>
      </c>
      <c r="I3" s="28">
        <f>IFERROR(IF(VLOOKUP(P3,Fossil_Shares!$J$3:$K$98,2,FALSE())="",VLOOKUP(E3,Parameters!$A$12:$B$14,2,FALSE()),VLOOKUP(P3,Fossil_Shares!$J$3:$K$98,2,FALSE())),VLOOKUP(E3,Parameters!$A$12:$B$14,2,FALSE()))</f>
        <v/>
      </c>
      <c r="J3" s="22">
        <f>IFERROR(IF(VLOOKUP(P3,Fossil_Shares!$J$3:$K$98,2,FALSE())="","EU27 fallback","Eurostat"),"EU27 fallback")</f>
        <v/>
      </c>
      <c r="K3" s="29">
        <f>VLOOKUP(D3,Parameters!$A$18:$B$21,2,FALSE())</f>
        <v/>
      </c>
      <c r="L3" s="30">
        <f>IF(N3="YES",F3*H3,0)</f>
        <v/>
      </c>
      <c r="M3" s="30">
        <f>L3*I3*K3</f>
        <v/>
      </c>
      <c r="N3" s="31" t="inlineStr">
        <is>
          <t>YES</t>
        </is>
      </c>
      <c r="O3" s="23" t="n"/>
      <c r="P3" s="32">
        <f>C3&amp;"|"&amp;E3</f>
        <v/>
      </c>
      <c r="Q3" s="33" t="inlineStr">
        <is>
          <t>Kematen mill: sulphite pulp + uncoated fine paper on same site (Mondi)</t>
        </is>
      </c>
    </row>
    <row r="4" ht="24" customHeight="1" s="80">
      <c r="A4" s="22" t="n">
        <v>44375331</v>
      </c>
      <c r="B4" s="23" t="inlineStr">
        <is>
          <t>Papierfabrik Wattens GmbH &amp; Co KG - Delfort</t>
        </is>
      </c>
      <c r="C4" s="23" t="inlineStr">
        <is>
          <t>Austria</t>
        </is>
      </c>
      <c r="D4" s="34" t="inlineStr">
        <is>
          <t>Paper/Board</t>
        </is>
      </c>
      <c r="E4" s="22" t="inlineStr">
        <is>
          <t>C17xP</t>
        </is>
      </c>
      <c r="F4" s="25" t="n">
        <v>260039.19997</v>
      </c>
      <c r="G4" s="26" t="inlineStr">
        <is>
          <t>PROXY</t>
        </is>
      </c>
      <c r="H4" s="27">
        <f>VLOOKUP(D4,Parameters!$A$5:$B$8,2,FALSE())</f>
        <v/>
      </c>
      <c r="I4" s="28">
        <f>IFERROR(IF(VLOOKUP(P4,Fossil_Shares!$J$3:$K$98,2,FALSE())="",VLOOKUP(E4,Parameters!$A$12:$B$14,2,FALSE()),VLOOKUP(P4,Fossil_Shares!$J$3:$K$98,2,FALSE())),VLOOKUP(E4,Parameters!$A$12:$B$14,2,FALSE()))</f>
        <v/>
      </c>
      <c r="J4" s="22">
        <f>IFERROR(IF(VLOOKUP(P4,Fossil_Shares!$J$3:$K$98,2,FALSE())="","EU27 fallback","Eurostat"),"EU27 fallback")</f>
        <v/>
      </c>
      <c r="K4" s="29">
        <f>VLOOKUP(D4,Parameters!$A$18:$B$21,2,FALSE())</f>
        <v/>
      </c>
      <c r="L4" s="30">
        <f>IF(N4="YES",F4*H4,0)</f>
        <v/>
      </c>
      <c r="M4" s="30">
        <f>L4*I4*K4</f>
        <v/>
      </c>
      <c r="N4" s="31" t="inlineStr">
        <is>
          <t>YES</t>
        </is>
      </c>
      <c r="O4" s="23" t="inlineStr">
        <is>
          <t>NEEDS_VERIFICATION</t>
        </is>
      </c>
      <c r="P4" s="32">
        <f>C4&amp;"|"&amp;E4</f>
        <v/>
      </c>
      <c r="Q4" s="33" t="inlineStr">
        <is>
          <t>Delfort specialty/thin paper mill; semi-chem tag but primarily paper output — verify on-site pulp</t>
        </is>
      </c>
    </row>
    <row r="5">
      <c r="A5" s="22" t="n">
        <v>44375328</v>
      </c>
      <c r="B5" s="23" t="inlineStr">
        <is>
          <t>Laakirchen Papier AG Pulp Mill</t>
        </is>
      </c>
      <c r="C5" s="23" t="inlineStr">
        <is>
          <t>Austria</t>
        </is>
      </c>
      <c r="D5" s="34" t="inlineStr">
        <is>
          <t>Paper/Board</t>
        </is>
      </c>
      <c r="E5" s="22" t="inlineStr">
        <is>
          <t>C17xP</t>
        </is>
      </c>
      <c r="F5" s="25" t="n">
        <v>260039.19997</v>
      </c>
      <c r="G5" s="26" t="inlineStr">
        <is>
          <t>PROXY</t>
        </is>
      </c>
      <c r="H5" s="27">
        <f>VLOOKUP(D5,Parameters!$A$5:$B$8,2,FALSE())</f>
        <v/>
      </c>
      <c r="I5" s="28">
        <f>IFERROR(IF(VLOOKUP(P5,Fossil_Shares!$J$3:$K$98,2,FALSE())="",VLOOKUP(E5,Parameters!$A$12:$B$14,2,FALSE()),VLOOKUP(P5,Fossil_Shares!$J$3:$K$98,2,FALSE())),VLOOKUP(E5,Parameters!$A$12:$B$14,2,FALSE()))</f>
        <v/>
      </c>
      <c r="J5" s="22">
        <f>IFERROR(IF(VLOOKUP(P5,Fossil_Shares!$J$3:$K$98,2,FALSE())="","EU27 fallback","Eurostat"),"EU27 fallback")</f>
        <v/>
      </c>
      <c r="K5" s="29">
        <f>VLOOKUP(D5,Parameters!$A$18:$B$21,2,FALSE())</f>
        <v/>
      </c>
      <c r="L5" s="30">
        <f>IF(N5="YES",F5*H5,0)</f>
        <v/>
      </c>
      <c r="M5" s="30">
        <f>L5*I5*K5</f>
        <v/>
      </c>
      <c r="N5" s="31" t="inlineStr">
        <is>
          <t>YES</t>
        </is>
      </c>
      <c r="O5" s="23" t="n"/>
      <c r="P5" s="32">
        <f>C5&amp;"|"&amp;E5</f>
        <v/>
      </c>
      <c r="Q5" s="33" t="inlineStr">
        <is>
          <t>Recycled-fibre SC paper &amp; containerboard; no virgin pulp line (Heinzel Group)</t>
        </is>
      </c>
    </row>
    <row r="6" ht="24" customHeight="1" s="80">
      <c r="A6" s="22" t="n">
        <v>44375329</v>
      </c>
      <c r="B6" s="23" t="inlineStr">
        <is>
          <t>UPM-Kymmene Steyrermuhl Austria Pulp Mill</t>
        </is>
      </c>
      <c r="C6" s="23" t="inlineStr">
        <is>
          <t>Austria</t>
        </is>
      </c>
      <c r="D6" s="34" t="inlineStr">
        <is>
          <t>Paper/Board</t>
        </is>
      </c>
      <c r="E6" s="22" t="inlineStr">
        <is>
          <t>C17xP</t>
        </is>
      </c>
      <c r="F6" s="25" t="n">
        <v>260039.19997</v>
      </c>
      <c r="G6" s="26" t="inlineStr">
        <is>
          <t>PROXY</t>
        </is>
      </c>
      <c r="H6" s="27">
        <f>VLOOKUP(D6,Parameters!$A$5:$B$8,2,FALSE())</f>
        <v/>
      </c>
      <c r="I6" s="28">
        <f>IFERROR(IF(VLOOKUP(P6,Fossil_Shares!$J$3:$K$98,2,FALSE())="",VLOOKUP(E6,Parameters!$A$12:$B$14,2,FALSE()),VLOOKUP(P6,Fossil_Shares!$J$3:$K$98,2,FALSE())),VLOOKUP(E6,Parameters!$A$12:$B$14,2,FALSE()))</f>
        <v/>
      </c>
      <c r="J6" s="22">
        <f>IFERROR(IF(VLOOKUP(P6,Fossil_Shares!$J$3:$K$98,2,FALSE())="","EU27 fallback","Eurostat"),"EU27 fallback")</f>
        <v/>
      </c>
      <c r="K6" s="29">
        <f>VLOOKUP(D6,Parameters!$A$18:$B$21,2,FALSE())</f>
        <v/>
      </c>
      <c r="L6" s="30">
        <f>IF(N6="YES",F6*H6,0)</f>
        <v/>
      </c>
      <c r="M6" s="30">
        <f>L6*I6*K6</f>
        <v/>
      </c>
      <c r="N6" s="31" t="inlineStr">
        <is>
          <t>YES</t>
        </is>
      </c>
      <c r="O6" s="23" t="n"/>
      <c r="P6" s="32">
        <f>C6&amp;"|"&amp;E6</f>
        <v/>
      </c>
      <c r="Q6" s="33" t="inlineStr">
        <is>
          <t>Graphic paper mill; converted to Heinzel packaging paper hub end-2023 (PaperFIRST)</t>
        </is>
      </c>
    </row>
    <row r="7" ht="24" customHeight="1" s="80">
      <c r="A7" s="22" t="n">
        <v>44375327</v>
      </c>
      <c r="B7" s="23" t="inlineStr">
        <is>
          <t>Ybbstaler Zellstoff Pulp Mill</t>
        </is>
      </c>
      <c r="C7" s="23" t="inlineStr">
        <is>
          <t>Austria</t>
        </is>
      </c>
      <c r="D7" s="35" t="inlineStr">
        <is>
          <t>Pulp</t>
        </is>
      </c>
      <c r="E7" s="22" t="inlineStr">
        <is>
          <t>C1711</t>
        </is>
      </c>
      <c r="F7" s="25" t="n">
        <v>260039.19997</v>
      </c>
      <c r="G7" s="26" t="inlineStr">
        <is>
          <t>PROXY</t>
        </is>
      </c>
      <c r="H7" s="27">
        <f>VLOOKUP(D7,Parameters!$A$5:$B$8,2,FALSE())</f>
        <v/>
      </c>
      <c r="I7" s="28">
        <f>IFERROR(IF(VLOOKUP(P7,Fossil_Shares!$J$3:$K$98,2,FALSE())="",VLOOKUP(E7,Parameters!$A$12:$B$14,2,FALSE()),VLOOKUP(P7,Fossil_Shares!$J$3:$K$98,2,FALSE())),VLOOKUP(E7,Parameters!$A$12:$B$14,2,FALSE()))</f>
        <v/>
      </c>
      <c r="J7" s="22">
        <f>IFERROR(IF(VLOOKUP(P7,Fossil_Shares!$J$3:$K$98,2,FALSE())="","EU27 fallback","Eurostat"),"EU27 fallback")</f>
        <v/>
      </c>
      <c r="K7" s="29">
        <f>VLOOKUP(D7,Parameters!$A$18:$B$21,2,FALSE())</f>
        <v/>
      </c>
      <c r="L7" s="30">
        <f>IF(N7="YES",F7*H7,0)</f>
        <v/>
      </c>
      <c r="M7" s="30">
        <f>L7*I7*K7</f>
        <v/>
      </c>
      <c r="N7" s="31" t="inlineStr">
        <is>
          <t>YES</t>
        </is>
      </c>
      <c r="O7" s="23" t="inlineStr">
        <is>
          <t>NEEDS_VERIFICATION</t>
        </is>
      </c>
      <c r="P7" s="32">
        <f>C7&amp;"|"&amp;E7</f>
        <v/>
      </c>
      <c r="Q7" s="33" t="inlineStr">
        <is>
          <t>Standalone sulphite pulp operation historically linked to Mondi Neusiedler; verify merger status</t>
        </is>
      </c>
    </row>
    <row r="8" ht="24" customHeight="1" s="80">
      <c r="A8" s="38" t="n">
        <v>44375537</v>
      </c>
      <c r="B8" s="39" t="inlineStr">
        <is>
          <t>SCA Laakirchen Papier AG</t>
        </is>
      </c>
      <c r="C8" s="39" t="inlineStr">
        <is>
          <t>Austria</t>
        </is>
      </c>
      <c r="D8" s="39" t="inlineStr">
        <is>
          <t>Paper/Board</t>
        </is>
      </c>
      <c r="E8" s="38" t="inlineStr">
        <is>
          <t>C17xP</t>
        </is>
      </c>
      <c r="F8" s="40" t="n">
        <v>485789.47367</v>
      </c>
      <c r="G8" s="26" t="inlineStr">
        <is>
          <t>PROXY</t>
        </is>
      </c>
      <c r="H8" s="27">
        <f>VLOOKUP(D8,Parameters!$A$5:$B$8,2,FALSE())</f>
        <v/>
      </c>
      <c r="I8" s="41">
        <f>IFERROR(IF(VLOOKUP(P8,Fossil_Shares!$J$3:$K$98,2,FALSE())="",VLOOKUP(E8,Parameters!$A$12:$B$14,2,FALSE()),VLOOKUP(P8,Fossil_Shares!$J$3:$K$98,2,FALSE())),VLOOKUP(E8,Parameters!$A$12:$B$14,2,FALSE()))</f>
        <v/>
      </c>
      <c r="J8" s="38">
        <f>IFERROR(IF(VLOOKUP(P8,Fossil_Shares!$J$3:$K$98,2,FALSE())="","EU27 fallback","Eurostat"),"EU27 fallback")</f>
        <v/>
      </c>
      <c r="K8" s="42">
        <f>VLOOKUP(D8,Parameters!$A$18:$B$21,2,FALSE())</f>
        <v/>
      </c>
      <c r="L8" s="43">
        <f>IF(N8="YES",F8*H8,0)</f>
        <v/>
      </c>
      <c r="M8" s="43">
        <f>L8*I8*K8</f>
        <v/>
      </c>
      <c r="N8" s="44" t="inlineStr">
        <is>
          <t>no</t>
        </is>
      </c>
      <c r="O8" s="39" t="inlineStr">
        <is>
          <t>DUPLICATE|COUNTRY_CORRECTED</t>
        </is>
      </c>
      <c r="P8" s="45">
        <f>C8&amp;"|"&amp;E8</f>
        <v/>
      </c>
      <c r="Q8" s="46" t="inlineStr">
        <is>
          <t>COUNTRY CORRECTED to AUT (Laakirchen, Austria). Same SC/containerboard mill as 44375328 — possible duplicate</t>
        </is>
      </c>
    </row>
    <row r="9" ht="24" customHeight="1" s="80">
      <c r="A9" s="38" t="n">
        <v>44375533</v>
      </c>
      <c r="B9" s="39" t="inlineStr">
        <is>
          <t>Burgo Ardennes SA</t>
        </is>
      </c>
      <c r="C9" s="39" t="inlineStr">
        <is>
          <t>Belgium</t>
        </is>
      </c>
      <c r="D9" s="39" t="inlineStr">
        <is>
          <t>Integrated</t>
        </is>
      </c>
      <c r="E9" s="38" t="inlineStr">
        <is>
          <t>C17</t>
        </is>
      </c>
      <c r="F9" s="40" t="n">
        <v>256350.22374</v>
      </c>
      <c r="G9" s="36" t="inlineStr">
        <is>
          <t>ok</t>
        </is>
      </c>
      <c r="H9" s="27">
        <f>VLOOKUP(D9,Parameters!$A$5:$B$8,2,FALSE())</f>
        <v/>
      </c>
      <c r="I9" s="41">
        <f>IFERROR(IF(VLOOKUP(P9,Fossil_Shares!$J$3:$K$98,2,FALSE())="",VLOOKUP(E9,Parameters!$A$12:$B$14,2,FALSE()),VLOOKUP(P9,Fossil_Shares!$J$3:$K$98,2,FALSE())),VLOOKUP(E9,Parameters!$A$12:$B$14,2,FALSE()))</f>
        <v/>
      </c>
      <c r="J9" s="38">
        <f>IFERROR(IF(VLOOKUP(P9,Fossil_Shares!$J$3:$K$98,2,FALSE())="","EU27 fallback","Eurostat"),"EU27 fallback")</f>
        <v/>
      </c>
      <c r="K9" s="42">
        <f>VLOOKUP(D9,Parameters!$A$18:$B$21,2,FALSE())</f>
        <v/>
      </c>
      <c r="L9" s="43">
        <f>IF(N9="YES",F9*H9,0)</f>
        <v/>
      </c>
      <c r="M9" s="43">
        <f>L9*I9*K9</f>
        <v/>
      </c>
      <c r="N9" s="44" t="inlineStr">
        <is>
          <t>no</t>
        </is>
      </c>
      <c r="O9" s="39" t="inlineStr">
        <is>
          <t>DUPLICATE|COUNTRY_CORRECTED</t>
        </is>
      </c>
      <c r="P9" s="45">
        <f>C9&amp;"|"&amp;E9</f>
        <v/>
      </c>
      <c r="Q9" s="46" t="inlineStr">
        <is>
          <t>COUNTRY CORRECTED to BEL (Virton, Belgium). Integrated pulp + CWF paper — duplicate of 44375332</t>
        </is>
      </c>
    </row>
    <row r="10" ht="24" customHeight="1" s="80">
      <c r="A10" s="22" t="n">
        <v>44375332</v>
      </c>
      <c r="B10" s="23" t="inlineStr">
        <is>
          <t>Burgo Ardennes Pulp Mill</t>
        </is>
      </c>
      <c r="C10" s="23" t="inlineStr">
        <is>
          <t>Belgium</t>
        </is>
      </c>
      <c r="D10" s="24" t="inlineStr">
        <is>
          <t>Integrated</t>
        </is>
      </c>
      <c r="E10" s="22" t="inlineStr">
        <is>
          <t>C17</t>
        </is>
      </c>
      <c r="F10" s="25" t="n">
        <v>324790.00002</v>
      </c>
      <c r="G10" s="36" t="inlineStr">
        <is>
          <t>ok</t>
        </is>
      </c>
      <c r="H10" s="27">
        <f>VLOOKUP(D10,Parameters!$A$5:$B$8,2,FALSE())</f>
        <v/>
      </c>
      <c r="I10" s="28">
        <f>IFERROR(IF(VLOOKUP(P10,Fossil_Shares!$J$3:$K$98,2,FALSE())="",VLOOKUP(E10,Parameters!$A$12:$B$14,2,FALSE()),VLOOKUP(P10,Fossil_Shares!$J$3:$K$98,2,FALSE())),VLOOKUP(E10,Parameters!$A$12:$B$14,2,FALSE()))</f>
        <v/>
      </c>
      <c r="J10" s="22">
        <f>IFERROR(IF(VLOOKUP(P10,Fossil_Shares!$J$3:$K$98,2,FALSE())="","EU27 fallback","Eurostat"),"EU27 fallback")</f>
        <v/>
      </c>
      <c r="K10" s="29">
        <f>VLOOKUP(D10,Parameters!$A$18:$B$21,2,FALSE())</f>
        <v/>
      </c>
      <c r="L10" s="30">
        <f>IF(N10="YES",F10*H10,0)</f>
        <v/>
      </c>
      <c r="M10" s="30">
        <f>L10*I10*K10</f>
        <v/>
      </c>
      <c r="N10" s="31" t="inlineStr">
        <is>
          <t>YES</t>
        </is>
      </c>
      <c r="O10" s="23" t="n"/>
      <c r="P10" s="32">
        <f>C10&amp;"|"&amp;E10</f>
        <v/>
      </c>
      <c r="Q10" s="33" t="inlineStr">
        <is>
          <t>Virton: kraft pulp + coated woodfree paper, 400kt pulp + 380kt CWF (Burgo Group)</t>
        </is>
      </c>
    </row>
    <row r="11">
      <c r="A11" s="22" t="n">
        <v>44375333</v>
      </c>
      <c r="B11" s="23" t="inlineStr">
        <is>
          <t>Svilocell EAD - Subsidiary of Svilosa AD</t>
        </is>
      </c>
      <c r="C11" s="23" t="inlineStr">
        <is>
          <t>Bulgaria</t>
        </is>
      </c>
      <c r="D11" s="35" t="inlineStr">
        <is>
          <t>Pulp</t>
        </is>
      </c>
      <c r="E11" s="22" t="inlineStr">
        <is>
          <t>C1711</t>
        </is>
      </c>
      <c r="F11" s="25" t="n">
        <v>93048.42459099997</v>
      </c>
      <c r="G11" s="26" t="inlineStr">
        <is>
          <t>PROXY</t>
        </is>
      </c>
      <c r="H11" s="27">
        <f>VLOOKUP(D11,Parameters!$A$5:$B$8,2,FALSE())</f>
        <v/>
      </c>
      <c r="I11" s="28">
        <f>IFERROR(IF(VLOOKUP(P11,Fossil_Shares!$J$3:$K$98,2,FALSE())="",VLOOKUP(E11,Parameters!$A$12:$B$14,2,FALSE()),VLOOKUP(P11,Fossil_Shares!$J$3:$K$98,2,FALSE())),VLOOKUP(E11,Parameters!$A$12:$B$14,2,FALSE()))</f>
        <v/>
      </c>
      <c r="J11" s="22">
        <f>IFERROR(IF(VLOOKUP(P11,Fossil_Shares!$J$3:$K$98,2,FALSE())="","EU27 fallback","Eurostat"),"EU27 fallback")</f>
        <v/>
      </c>
      <c r="K11" s="29">
        <f>VLOOKUP(D11,Parameters!$A$18:$B$21,2,FALSE())</f>
        <v/>
      </c>
      <c r="L11" s="30">
        <f>IF(N11="YES",F11*H11,0)</f>
        <v/>
      </c>
      <c r="M11" s="30">
        <f>L11*I11*K11</f>
        <v/>
      </c>
      <c r="N11" s="31" t="inlineStr">
        <is>
          <t>YES</t>
        </is>
      </c>
      <c r="O11" s="23" t="n"/>
      <c r="P11" s="32">
        <f>C11&amp;"|"&amp;E11</f>
        <v/>
      </c>
      <c r="Q11" s="33" t="inlineStr">
        <is>
          <t>Bleached kraft market pulp; no integrated paper line known</t>
        </is>
      </c>
    </row>
    <row r="12">
      <c r="A12" s="38" t="n">
        <v>44375334</v>
      </c>
      <c r="B12" s="39" t="inlineStr">
        <is>
          <t>Stambolijski Kraft Pulp &amp; Paper Mill</t>
        </is>
      </c>
      <c r="C12" s="39" t="inlineStr">
        <is>
          <t>Bulgaria</t>
        </is>
      </c>
      <c r="D12" s="39" t="inlineStr">
        <is>
          <t>Integrated</t>
        </is>
      </c>
      <c r="E12" s="38" t="inlineStr">
        <is>
          <t>C17</t>
        </is>
      </c>
      <c r="F12" s="40" t="n">
        <v>93048.42459099997</v>
      </c>
      <c r="G12" s="26" t="inlineStr">
        <is>
          <t>PROXY</t>
        </is>
      </c>
      <c r="H12" s="27">
        <f>VLOOKUP(D12,Parameters!$A$5:$B$8,2,FALSE())</f>
        <v/>
      </c>
      <c r="I12" s="41">
        <f>IFERROR(IF(VLOOKUP(P12,Fossil_Shares!$J$3:$K$98,2,FALSE())="",VLOOKUP(E12,Parameters!$A$12:$B$14,2,FALSE()),VLOOKUP(P12,Fossil_Shares!$J$3:$K$98,2,FALSE())),VLOOKUP(E12,Parameters!$A$12:$B$14,2,FALSE()))</f>
        <v/>
      </c>
      <c r="J12" s="38">
        <f>IFERROR(IF(VLOOKUP(P12,Fossil_Shares!$J$3:$K$98,2,FALSE())="","EU27 fallback","Eurostat"),"EU27 fallback")</f>
        <v/>
      </c>
      <c r="K12" s="42">
        <f>VLOOKUP(D12,Parameters!$A$18:$B$21,2,FALSE())</f>
        <v/>
      </c>
      <c r="L12" s="43">
        <f>IF(N12="YES",F12*H12,0)</f>
        <v/>
      </c>
      <c r="M12" s="43">
        <f>L12*I12*K12</f>
        <v/>
      </c>
      <c r="N12" s="44" t="inlineStr">
        <is>
          <t>no</t>
        </is>
      </c>
      <c r="O12" s="39" t="inlineStr">
        <is>
          <t>CLOSED</t>
        </is>
      </c>
      <c r="P12" s="45">
        <f>C12&amp;"|"&amp;E12</f>
        <v/>
      </c>
      <c r="Q12" s="46" t="inlineStr">
        <is>
          <t>Name states Pulp &amp; Paper; historic kraft site — verify current operational status</t>
        </is>
      </c>
    </row>
    <row r="13" ht="24" customHeight="1" s="80">
      <c r="A13" s="38" t="n">
        <v>44375335</v>
      </c>
      <c r="B13" s="39" t="inlineStr">
        <is>
          <t>Svistov Pulp Plant</t>
        </is>
      </c>
      <c r="C13" s="39" t="inlineStr">
        <is>
          <t>Bulgaria</t>
        </is>
      </c>
      <c r="D13" s="39" t="inlineStr">
        <is>
          <t>Pulp</t>
        </is>
      </c>
      <c r="E13" s="38" t="inlineStr">
        <is>
          <t>C1711</t>
        </is>
      </c>
      <c r="F13" s="40" t="n">
        <v>93048.42459099997</v>
      </c>
      <c r="G13" s="26" t="inlineStr">
        <is>
          <t>PROXY</t>
        </is>
      </c>
      <c r="H13" s="27">
        <f>VLOOKUP(D13,Parameters!$A$5:$B$8,2,FALSE())</f>
        <v/>
      </c>
      <c r="I13" s="41">
        <f>IFERROR(IF(VLOOKUP(P13,Fossil_Shares!$J$3:$K$98,2,FALSE())="",VLOOKUP(E13,Parameters!$A$12:$B$14,2,FALSE()),VLOOKUP(P13,Fossil_Shares!$J$3:$K$98,2,FALSE())),VLOOKUP(E13,Parameters!$A$12:$B$14,2,FALSE()))</f>
        <v/>
      </c>
      <c r="J13" s="38">
        <f>IFERROR(IF(VLOOKUP(P13,Fossil_Shares!$J$3:$K$98,2,FALSE())="","EU27 fallback","Eurostat"),"EU27 fallback")</f>
        <v/>
      </c>
      <c r="K13" s="42">
        <f>VLOOKUP(D13,Parameters!$A$18:$B$21,2,FALSE())</f>
        <v/>
      </c>
      <c r="L13" s="43">
        <f>IF(N13="YES",F13*H13,0)</f>
        <v/>
      </c>
      <c r="M13" s="43">
        <f>L13*I13*K13</f>
        <v/>
      </c>
      <c r="N13" s="44" t="inlineStr">
        <is>
          <t>no</t>
        </is>
      </c>
      <c r="O13" s="39" t="inlineStr">
        <is>
          <t>DUPLICATE|NEEDS_VERIFICATION</t>
        </is>
      </c>
      <c r="P13" s="45">
        <f>C13&amp;"|"&amp;E13</f>
        <v/>
      </c>
      <c r="Q13" s="46" t="inlineStr">
        <is>
          <t>Same Svilosa/Svishtov complex as Svilocell — likely duplicate; verify and de-duplicate</t>
        </is>
      </c>
    </row>
    <row r="14">
      <c r="A14" s="22" t="n">
        <v>44375502</v>
      </c>
      <c r="B14" s="23" t="inlineStr">
        <is>
          <t>OP Papírna s.r.o. - Delfort</t>
        </is>
      </c>
      <c r="C14" s="23" t="inlineStr">
        <is>
          <t>Czechia</t>
        </is>
      </c>
      <c r="D14" s="34" t="inlineStr">
        <is>
          <t>Paper/Board</t>
        </is>
      </c>
      <c r="E14" s="22" t="inlineStr">
        <is>
          <t>C17xP</t>
        </is>
      </c>
      <c r="F14" s="25" t="n">
        <v>219922.8387</v>
      </c>
      <c r="G14" s="26" t="inlineStr">
        <is>
          <t>PROXY</t>
        </is>
      </c>
      <c r="H14" s="27">
        <f>VLOOKUP(D14,Parameters!$A$5:$B$8,2,FALSE())</f>
        <v/>
      </c>
      <c r="I14" s="28">
        <f>IFERROR(IF(VLOOKUP(P14,Fossil_Shares!$J$3:$K$98,2,FALSE())="",VLOOKUP(E14,Parameters!$A$12:$B$14,2,FALSE()),VLOOKUP(P14,Fossil_Shares!$J$3:$K$98,2,FALSE())),VLOOKUP(E14,Parameters!$A$12:$B$14,2,FALSE()))</f>
        <v/>
      </c>
      <c r="J14" s="22">
        <f>IFERROR(IF(VLOOKUP(P14,Fossil_Shares!$J$3:$K$98,2,FALSE())="","EU27 fallback","Eurostat"),"EU27 fallback")</f>
        <v/>
      </c>
      <c r="K14" s="29">
        <f>VLOOKUP(D14,Parameters!$A$18:$B$21,2,FALSE())</f>
        <v/>
      </c>
      <c r="L14" s="30">
        <f>IF(N14="YES",F14*H14,0)</f>
        <v/>
      </c>
      <c r="M14" s="30">
        <f>L14*I14*K14</f>
        <v/>
      </c>
      <c r="N14" s="31" t="inlineStr">
        <is>
          <t>YES</t>
        </is>
      </c>
      <c r="O14" s="23" t="inlineStr">
        <is>
          <t>NEEDS_VERIFICATION</t>
        </is>
      </c>
      <c r="P14" s="32">
        <f>C14&amp;"|"&amp;E14</f>
        <v/>
      </c>
      <c r="Q14" s="33" t="inlineStr">
        <is>
          <t>Delfort specialty thin-paper mill (Olšany); primarily paper — verify on-site pulp</t>
        </is>
      </c>
    </row>
    <row r="15" ht="24" customHeight="1" s="80">
      <c r="A15" s="22" t="n">
        <v>44375503</v>
      </c>
      <c r="B15" s="23" t="inlineStr">
        <is>
          <t>Biocel Paskov Pulp Mill</t>
        </is>
      </c>
      <c r="C15" s="23" t="inlineStr">
        <is>
          <t>Czechia</t>
        </is>
      </c>
      <c r="D15" s="35" t="inlineStr">
        <is>
          <t>Pulp</t>
        </is>
      </c>
      <c r="E15" s="22" t="inlineStr">
        <is>
          <t>C1711</t>
        </is>
      </c>
      <c r="F15" s="25" t="n">
        <v>219922.8387</v>
      </c>
      <c r="G15" s="26" t="inlineStr">
        <is>
          <t>PROXY</t>
        </is>
      </c>
      <c r="H15" s="27">
        <f>VLOOKUP(D15,Parameters!$A$5:$B$8,2,FALSE())</f>
        <v/>
      </c>
      <c r="I15" s="28">
        <f>IFERROR(IF(VLOOKUP(P15,Fossil_Shares!$J$3:$K$98,2,FALSE())="",VLOOKUP(E15,Parameters!$A$12:$B$14,2,FALSE()),VLOOKUP(P15,Fossil_Shares!$J$3:$K$98,2,FALSE())),VLOOKUP(E15,Parameters!$A$12:$B$14,2,FALSE()))</f>
        <v/>
      </c>
      <c r="J15" s="22">
        <f>IFERROR(IF(VLOOKUP(P15,Fossil_Shares!$J$3:$K$98,2,FALSE())="","EU27 fallback","Eurostat"),"EU27 fallback")</f>
        <v/>
      </c>
      <c r="K15" s="29">
        <f>VLOOKUP(D15,Parameters!$A$18:$B$21,2,FALSE())</f>
        <v/>
      </c>
      <c r="L15" s="30">
        <f>IF(N15="YES",F15*H15,0)</f>
        <v/>
      </c>
      <c r="M15" s="30">
        <f>L15*I15*K15</f>
        <v/>
      </c>
      <c r="N15" s="31" t="inlineStr">
        <is>
          <t>YES</t>
        </is>
      </c>
      <c r="O15" s="23" t="n"/>
      <c r="P15" s="32">
        <f>C15&amp;"|"&amp;E15</f>
        <v/>
      </c>
      <c r="Q15" s="33" t="inlineStr">
        <is>
          <t>Lenzing biorefinery: dissolving + paper-grade pulp only; no papermaking (Lenzing/Innovation in Textiles)</t>
        </is>
      </c>
    </row>
    <row r="16" ht="24" customHeight="1" s="80">
      <c r="A16" s="38" t="n">
        <v>44375557</v>
      </c>
      <c r="B16" s="39" t="inlineStr">
        <is>
          <t>Biocel Paskov 2</t>
        </is>
      </c>
      <c r="C16" s="39" t="inlineStr">
        <is>
          <t>Czechia</t>
        </is>
      </c>
      <c r="D16" s="39" t="inlineStr">
        <is>
          <t>Pulp</t>
        </is>
      </c>
      <c r="E16" s="38" t="inlineStr">
        <is>
          <t>C1711</t>
        </is>
      </c>
      <c r="F16" s="40" t="n"/>
      <c r="G16" s="36" t="inlineStr">
        <is>
          <t>ok</t>
        </is>
      </c>
      <c r="H16" s="27">
        <f>VLOOKUP(D16,Parameters!$A$5:$B$8,2,FALSE())</f>
        <v/>
      </c>
      <c r="I16" s="41">
        <f>IFERROR(IF(VLOOKUP(P16,Fossil_Shares!$J$3:$K$98,2,FALSE())="",VLOOKUP(E16,Parameters!$A$12:$B$14,2,FALSE()),VLOOKUP(P16,Fossil_Shares!$J$3:$K$98,2,FALSE())),VLOOKUP(E16,Parameters!$A$12:$B$14,2,FALSE()))</f>
        <v/>
      </c>
      <c r="J16" s="38">
        <f>IFERROR(IF(VLOOKUP(P16,Fossil_Shares!$J$3:$K$98,2,FALSE())="","EU27 fallback","Eurostat"),"EU27 fallback")</f>
        <v/>
      </c>
      <c r="K16" s="42">
        <f>VLOOKUP(D16,Parameters!$A$18:$B$21,2,FALSE())</f>
        <v/>
      </c>
      <c r="L16" s="43">
        <f>IF(N16="YES",F16*H16,0)</f>
        <v/>
      </c>
      <c r="M16" s="43">
        <f>L16*I16*K16</f>
        <v/>
      </c>
      <c r="N16" s="44" t="inlineStr">
        <is>
          <t>no</t>
        </is>
      </c>
      <c r="O16" s="39" t="inlineStr">
        <is>
          <t>DUPLICATE|COUNTRY_CORRECTED</t>
        </is>
      </c>
      <c r="P16" s="45">
        <f>C16&amp;"|"&amp;E16</f>
        <v/>
      </c>
      <c r="Q16" s="46" t="inlineStr">
        <is>
          <t>COUNTRY CORRECTED to CZE. Duplicate of 44375503 (Biocel Paskov dissolving/paper pulp, Lenzing)</t>
        </is>
      </c>
    </row>
    <row r="17" ht="24" customHeight="1" s="80">
      <c r="A17" s="59" t="n">
        <v>44375520</v>
      </c>
      <c r="B17" s="60" t="inlineStr">
        <is>
          <t>Golbey Pulp and Paper Mill</t>
        </is>
      </c>
      <c r="C17" s="60" t="inlineStr">
        <is>
          <t>France</t>
        </is>
      </c>
      <c r="D17" s="61" t="inlineStr">
        <is>
          <t>Paper/Board</t>
        </is>
      </c>
      <c r="E17" s="59" t="inlineStr">
        <is>
          <t>C17xP</t>
        </is>
      </c>
      <c r="F17" s="62" t="n">
        <v>82573.584905</v>
      </c>
      <c r="G17" s="63" t="inlineStr">
        <is>
          <t>ok</t>
        </is>
      </c>
      <c r="H17" s="64">
        <f>VLOOKUP(D17,Parameters!$A$5:$B$8,2,FALSE())</f>
        <v/>
      </c>
      <c r="I17" s="65">
        <f>IFERROR(IF(VLOOKUP(P17,Fossil_Shares!$J$3:$K$98,2,FALSE())="",VLOOKUP(E17,Parameters!$A$12:$B$14,2,FALSE()),VLOOKUP(P17,Fossil_Shares!$J$3:$K$98,2,FALSE())),VLOOKUP(E17,Parameters!$A$12:$B$14,2,FALSE()))</f>
        <v/>
      </c>
      <c r="J17" s="59">
        <f>IFERROR(IF(VLOOKUP(P17,Fossil_Shares!$J$3:$K$98,2,FALSE())="","EU27 fallback","Eurostat"),"EU27 fallback")</f>
        <v/>
      </c>
      <c r="K17" s="66">
        <f>VLOOKUP(D17,Parameters!$A$18:$B$21,2,FALSE())</f>
        <v/>
      </c>
      <c r="L17" s="67">
        <f>IF(N17="YES",F17*H17,0)</f>
        <v/>
      </c>
      <c r="M17" s="67">
        <f>L17*I17*K17</f>
        <v/>
      </c>
      <c r="N17" s="68" t="inlineStr">
        <is>
          <t>no</t>
        </is>
      </c>
      <c r="O17" s="60" t="n"/>
      <c r="P17" s="69">
        <f>C17&amp;"|"&amp;E17</f>
        <v/>
      </c>
      <c r="Q17" s="70" t="inlineStr">
        <is>
          <t>Norske Skog Golbey: newsprint/recycled containerboard; no chemical pulp line (TMP/recovered fibre)</t>
        </is>
      </c>
    </row>
    <row r="18" ht="24" customHeight="1" s="80">
      <c r="A18" s="36" t="n">
        <v>44375543</v>
      </c>
      <c r="B18" s="72" t="inlineStr">
        <is>
          <t>Norske Skog Golbey</t>
        </is>
      </c>
      <c r="C18" s="72" t="inlineStr">
        <is>
          <t>France</t>
        </is>
      </c>
      <c r="D18" s="72" t="inlineStr">
        <is>
          <t>Paper/Board</t>
        </is>
      </c>
      <c r="E18" s="36" t="inlineStr">
        <is>
          <t>C17xP</t>
        </is>
      </c>
      <c r="F18" s="73" t="n">
        <v>148763.1111</v>
      </c>
      <c r="G18" s="36" t="inlineStr">
        <is>
          <t>PROXY</t>
        </is>
      </c>
      <c r="H18" s="27">
        <f>VLOOKUP(D18,Parameters!$A$5:$B$8,2,FALSE())</f>
        <v/>
      </c>
      <c r="I18" s="74">
        <f>IFERROR(IF(VLOOKUP(P18,Fossil_Shares!$J$3:$K$98,2,FALSE())="",VLOOKUP(E18,Parameters!$A$12:$B$14,2,FALSE()),VLOOKUP(P18,Fossil_Shares!$J$3:$K$98,2,FALSE())),VLOOKUP(E18,Parameters!$A$12:$B$14,2,FALSE()))</f>
        <v/>
      </c>
      <c r="J18" s="36">
        <f>IFERROR(IF(VLOOKUP(P18,Fossil_Shares!$J$3:$K$98,2,FALSE())="","EU27 fallback","Eurostat"),"EU27 fallback")</f>
        <v/>
      </c>
      <c r="K18" s="27">
        <f>VLOOKUP(D18,Parameters!$A$18:$B$21,2,FALSE())</f>
        <v/>
      </c>
      <c r="L18" s="75">
        <f>IF(N18="YES",F18*H18,0)</f>
        <v/>
      </c>
      <c r="M18" s="75">
        <f>L18*I18*K18</f>
        <v/>
      </c>
      <c r="N18" s="78" t="inlineStr">
        <is>
          <t>YES</t>
        </is>
      </c>
      <c r="O18" s="72" t="inlineStr">
        <is>
          <t>DUPLICATE|COUNTRY_CORRECTED</t>
        </is>
      </c>
      <c r="P18" s="76">
        <f>C18&amp;"|"&amp;E18</f>
        <v/>
      </c>
      <c r="Q18" s="77" t="inlineStr">
        <is>
          <t>COUNTRY CORRECTED to FRA (Golbey, France). Newsprint/recycled containerboard — duplicate of 44375520</t>
        </is>
      </c>
    </row>
    <row r="19" ht="24" customHeight="1" s="80">
      <c r="A19" s="22" t="n">
        <v>44375517</v>
      </c>
      <c r="B19" s="23" t="inlineStr">
        <is>
          <t>Mimizan Pulp and Paper Mill - Paper Bags</t>
        </is>
      </c>
      <c r="C19" s="23" t="inlineStr">
        <is>
          <t>France</t>
        </is>
      </c>
      <c r="D19" s="24" t="inlineStr">
        <is>
          <t>Integrated</t>
        </is>
      </c>
      <c r="E19" s="22" t="inlineStr">
        <is>
          <t>C17</t>
        </is>
      </c>
      <c r="F19" s="25" t="n">
        <v>171453.80357</v>
      </c>
      <c r="G19" s="36" t="inlineStr">
        <is>
          <t>ok</t>
        </is>
      </c>
      <c r="H19" s="27">
        <f>VLOOKUP(D19,Parameters!$A$5:$B$8,2,FALSE())</f>
        <v/>
      </c>
      <c r="I19" s="28">
        <f>IFERROR(IF(VLOOKUP(P19,Fossil_Shares!$J$3:$K$98,2,FALSE())="",VLOOKUP(E19,Parameters!$A$12:$B$14,2,FALSE()),VLOOKUP(P19,Fossil_Shares!$J$3:$K$98,2,FALSE())),VLOOKUP(E19,Parameters!$A$12:$B$14,2,FALSE()))</f>
        <v/>
      </c>
      <c r="J19" s="22">
        <f>IFERROR(IF(VLOOKUP(P19,Fossil_Shares!$J$3:$K$98,2,FALSE())="","EU27 fallback","Eurostat"),"EU27 fallback")</f>
        <v/>
      </c>
      <c r="K19" s="29">
        <f>VLOOKUP(D19,Parameters!$A$18:$B$21,2,FALSE())</f>
        <v/>
      </c>
      <c r="L19" s="30">
        <f>IF(N19="YES",F19*H19,0)</f>
        <v/>
      </c>
      <c r="M19" s="30">
        <f>L19*I19*K19</f>
        <v/>
      </c>
      <c r="N19" s="31" t="inlineStr">
        <is>
          <t>YES</t>
        </is>
      </c>
      <c r="O19" s="23" t="n"/>
      <c r="P19" s="32">
        <f>C19&amp;"|"&amp;E19</f>
        <v/>
      </c>
      <c r="Q19" s="33" t="inlineStr">
        <is>
          <t>Gascogne Papier Mimizan: integrated kraft pulp + natural kraft/sack paper (Gascogne Papier; ANDRITZ)</t>
        </is>
      </c>
    </row>
    <row r="20" ht="24" customHeight="1" s="80">
      <c r="A20" s="22" t="n">
        <v>44375523</v>
      </c>
      <c r="B20" s="23" t="inlineStr">
        <is>
          <t>Facture Biganos Pulp and Paper Mill</t>
        </is>
      </c>
      <c r="C20" s="23" t="inlineStr">
        <is>
          <t>France</t>
        </is>
      </c>
      <c r="D20" s="24" t="inlineStr">
        <is>
          <t>Integrated</t>
        </is>
      </c>
      <c r="E20" s="22" t="inlineStr">
        <is>
          <t>C17</t>
        </is>
      </c>
      <c r="F20" s="25" t="n">
        <v>485789.47367</v>
      </c>
      <c r="G20" s="26" t="inlineStr">
        <is>
          <t>PROXY</t>
        </is>
      </c>
      <c r="H20" s="27">
        <f>VLOOKUP(D20,Parameters!$A$5:$B$8,2,FALSE())</f>
        <v/>
      </c>
      <c r="I20" s="28">
        <f>IFERROR(IF(VLOOKUP(P20,Fossil_Shares!$J$3:$K$98,2,FALSE())="",VLOOKUP(E20,Parameters!$A$12:$B$14,2,FALSE()),VLOOKUP(P20,Fossil_Shares!$J$3:$K$98,2,FALSE())),VLOOKUP(E20,Parameters!$A$12:$B$14,2,FALSE()))</f>
        <v/>
      </c>
      <c r="J20" s="22">
        <f>IFERROR(IF(VLOOKUP(P20,Fossil_Shares!$J$3:$K$98,2,FALSE())="","EU27 fallback","Eurostat"),"EU27 fallback")</f>
        <v/>
      </c>
      <c r="K20" s="29">
        <f>VLOOKUP(D20,Parameters!$A$18:$B$21,2,FALSE())</f>
        <v/>
      </c>
      <c r="L20" s="30">
        <f>IF(N20="YES",F20*H20,0)</f>
        <v/>
      </c>
      <c r="M20" s="30">
        <f>L20*I20*K20</f>
        <v/>
      </c>
      <c r="N20" s="31" t="inlineStr">
        <is>
          <t>YES</t>
        </is>
      </c>
      <c r="O20" s="23" t="n"/>
      <c r="P20" s="32">
        <f>C20&amp;"|"&amp;E20</f>
        <v/>
      </c>
      <c r="Q20" s="33" t="inlineStr">
        <is>
          <t>Smurfit Kappa Facture/Biganos: integrated kraft pulp + kraftliner (Pulp&amp;PaperNews; SUEZ)</t>
        </is>
      </c>
    </row>
    <row r="21" ht="24" customFormat="1" customHeight="1" s="71">
      <c r="A21" s="22" t="n">
        <v>44375524</v>
      </c>
      <c r="B21" s="23" t="inlineStr">
        <is>
          <t>Saint Gaudens Pulp Mill</t>
        </is>
      </c>
      <c r="C21" s="23" t="inlineStr">
        <is>
          <t>France</t>
        </is>
      </c>
      <c r="D21" s="35" t="inlineStr">
        <is>
          <t>Pulp</t>
        </is>
      </c>
      <c r="E21" s="22" t="inlineStr">
        <is>
          <t>C1711</t>
        </is>
      </c>
      <c r="F21" s="25" t="n">
        <v>485789.47367</v>
      </c>
      <c r="G21" s="26" t="inlineStr">
        <is>
          <t>PROXY</t>
        </is>
      </c>
      <c r="H21" s="27">
        <f>VLOOKUP(D21,Parameters!$A$5:$B$8,2,FALSE())</f>
        <v/>
      </c>
      <c r="I21" s="28">
        <f>IFERROR(IF(VLOOKUP(P21,Fossil_Shares!$J$3:$K$98,2,FALSE())="",VLOOKUP(E21,Parameters!$A$12:$B$14,2,FALSE()),VLOOKUP(P21,Fossil_Shares!$J$3:$K$98,2,FALSE())),VLOOKUP(E21,Parameters!$A$12:$B$14,2,FALSE()))</f>
        <v/>
      </c>
      <c r="J21" s="22">
        <f>IFERROR(IF(VLOOKUP(P21,Fossil_Shares!$J$3:$K$98,2,FALSE())="","EU27 fallback","Eurostat"),"EU27 fallback")</f>
        <v/>
      </c>
      <c r="K21" s="29">
        <f>VLOOKUP(D21,Parameters!$A$18:$B$21,2,FALSE())</f>
        <v/>
      </c>
      <c r="L21" s="30">
        <f>IF(N21="YES",F21*H21,0)</f>
        <v/>
      </c>
      <c r="M21" s="30">
        <f>L21*I21*K21</f>
        <v/>
      </c>
      <c r="N21" s="31" t="inlineStr">
        <is>
          <t>YES</t>
        </is>
      </c>
      <c r="O21" s="23" t="inlineStr">
        <is>
          <t>NEEDS_VERIFICATION</t>
        </is>
      </c>
      <c r="P21" s="32">
        <f>C21&amp;"|"&amp;E21</f>
        <v/>
      </c>
      <c r="Q21" s="33" t="inlineStr">
        <is>
          <t>Fibre Excellence Saint-Gaudens: kraft market pulp mill; no integrated paper — verify operator/status</t>
        </is>
      </c>
    </row>
    <row r="22" ht="24" customHeight="1" s="80">
      <c r="A22" s="22" t="n">
        <v>44375522</v>
      </c>
      <c r="B22" s="23" t="inlineStr">
        <is>
          <t>Tarascon Pulp Mill</t>
        </is>
      </c>
      <c r="C22" s="23" t="inlineStr">
        <is>
          <t>France</t>
        </is>
      </c>
      <c r="D22" s="35" t="inlineStr">
        <is>
          <t>Pulp</t>
        </is>
      </c>
      <c r="E22" s="22" t="inlineStr">
        <is>
          <t>C1711</t>
        </is>
      </c>
      <c r="F22" s="25" t="n">
        <v>485789.47367</v>
      </c>
      <c r="G22" s="26" t="inlineStr">
        <is>
          <t>PROXY</t>
        </is>
      </c>
      <c r="H22" s="27">
        <f>VLOOKUP(D22,Parameters!$A$5:$B$8,2,FALSE())</f>
        <v/>
      </c>
      <c r="I22" s="28">
        <f>IFERROR(IF(VLOOKUP(P22,Fossil_Shares!$J$3:$K$98,2,FALSE())="",VLOOKUP(E22,Parameters!$A$12:$B$14,2,FALSE()),VLOOKUP(P22,Fossil_Shares!$J$3:$K$98,2,FALSE())),VLOOKUP(E22,Parameters!$A$12:$B$14,2,FALSE()))</f>
        <v/>
      </c>
      <c r="J22" s="22">
        <f>IFERROR(IF(VLOOKUP(P22,Fossil_Shares!$J$3:$K$98,2,FALSE())="","EU27 fallback","Eurostat"),"EU27 fallback")</f>
        <v/>
      </c>
      <c r="K22" s="29">
        <f>VLOOKUP(D22,Parameters!$A$18:$B$21,2,FALSE())</f>
        <v/>
      </c>
      <c r="L22" s="30">
        <f>IF(N22="YES",F22*H22,0)</f>
        <v/>
      </c>
      <c r="M22" s="30">
        <f>L22*I22*K22</f>
        <v/>
      </c>
      <c r="N22" s="31" t="inlineStr">
        <is>
          <t>YES</t>
        </is>
      </c>
      <c r="O22" s="23" t="inlineStr">
        <is>
          <t>NEEDS_VERIFICATION</t>
        </is>
      </c>
      <c r="P22" s="32">
        <f>C22&amp;"|"&amp;E22</f>
        <v/>
      </c>
      <c r="Q22" s="33" t="inlineStr">
        <is>
          <t>Fibre Excellence Tarascon: kraft market pulp mill; no paper — verify operational status</t>
        </is>
      </c>
    </row>
    <row r="23" ht="24" customHeight="1" s="80">
      <c r="A23" s="22" t="n">
        <v>44375527</v>
      </c>
      <c r="B23" s="23" t="inlineStr">
        <is>
          <t>WEPA Greenfield SAS - WEPA Group</t>
        </is>
      </c>
      <c r="C23" s="23" t="inlineStr">
        <is>
          <t>France</t>
        </is>
      </c>
      <c r="D23" s="37" t="inlineStr">
        <is>
          <t>Tissue</t>
        </is>
      </c>
      <c r="E23" s="22" t="inlineStr">
        <is>
          <t>C17xP</t>
        </is>
      </c>
      <c r="F23" s="25" t="n">
        <v>485789.47367</v>
      </c>
      <c r="G23" s="26" t="inlineStr">
        <is>
          <t>PROXY</t>
        </is>
      </c>
      <c r="H23" s="27">
        <f>VLOOKUP(D23,Parameters!$A$5:$B$8,2,FALSE())</f>
        <v/>
      </c>
      <c r="I23" s="28">
        <f>IFERROR(IF(VLOOKUP(P23,Fossil_Shares!$J$3:$K$98,2,FALSE())="",VLOOKUP(E23,Parameters!$A$12:$B$14,2,FALSE()),VLOOKUP(P23,Fossil_Shares!$J$3:$K$98,2,FALSE())),VLOOKUP(E23,Parameters!$A$12:$B$14,2,FALSE()))</f>
        <v/>
      </c>
      <c r="J23" s="22">
        <f>IFERROR(IF(VLOOKUP(P23,Fossil_Shares!$J$3:$K$98,2,FALSE())="","EU27 fallback","Eurostat"),"EU27 fallback")</f>
        <v/>
      </c>
      <c r="K23" s="29">
        <f>VLOOKUP(D23,Parameters!$A$18:$B$21,2,FALSE())</f>
        <v/>
      </c>
      <c r="L23" s="30">
        <f>IF(N23="YES",F23*H23,0)</f>
        <v/>
      </c>
      <c r="M23" s="30">
        <f>L23*I23*K23</f>
        <v/>
      </c>
      <c r="N23" s="31" t="inlineStr">
        <is>
          <t>YES</t>
        </is>
      </c>
      <c r="O23" s="23" t="n"/>
      <c r="P23" s="32">
        <f>C23&amp;"|"&amp;E23</f>
        <v/>
      </c>
      <c r="Q23" s="33" t="inlineStr">
        <is>
          <t>WEPA Greenfield (Château-Thierry): recycled tissue/hygiene paper — WEPA is Europe's #3 tissue producer</t>
        </is>
      </c>
    </row>
    <row r="24" ht="24" customHeight="1" s="80">
      <c r="A24" s="22" t="n">
        <v>44375526</v>
      </c>
      <c r="B24" s="23" t="inlineStr">
        <is>
          <t>Saillat-sur-Vienne Pulp and Paper Mill</t>
        </is>
      </c>
      <c r="C24" s="23" t="inlineStr">
        <is>
          <t>France</t>
        </is>
      </c>
      <c r="D24" s="24" t="inlineStr">
        <is>
          <t>Integrated</t>
        </is>
      </c>
      <c r="E24" s="22" t="inlineStr">
        <is>
          <t>C17</t>
        </is>
      </c>
      <c r="F24" s="25" t="n">
        <v>520240.15987</v>
      </c>
      <c r="G24" s="36" t="inlineStr">
        <is>
          <t>ok</t>
        </is>
      </c>
      <c r="H24" s="27">
        <f>VLOOKUP(D24,Parameters!$A$5:$B$8,2,FALSE())</f>
        <v/>
      </c>
      <c r="I24" s="28">
        <f>IFERROR(IF(VLOOKUP(P24,Fossil_Shares!$J$3:$K$98,2,FALSE())="",VLOOKUP(E24,Parameters!$A$12:$B$14,2,FALSE()),VLOOKUP(P24,Fossil_Shares!$J$3:$K$98,2,FALSE())),VLOOKUP(E24,Parameters!$A$12:$B$14,2,FALSE()))</f>
        <v/>
      </c>
      <c r="J24" s="22">
        <f>IFERROR(IF(VLOOKUP(P24,Fossil_Shares!$J$3:$K$98,2,FALSE())="","EU27 fallback","Eurostat"),"EU27 fallback")</f>
        <v/>
      </c>
      <c r="K24" s="29">
        <f>VLOOKUP(D24,Parameters!$A$18:$B$21,2,FALSE())</f>
        <v/>
      </c>
      <c r="L24" s="30">
        <f>IF(N24="YES",F24*H24,0)</f>
        <v/>
      </c>
      <c r="M24" s="30">
        <f>L24*I24*K24</f>
        <v/>
      </c>
      <c r="N24" s="31" t="inlineStr">
        <is>
          <t>YES</t>
        </is>
      </c>
      <c r="O24" s="23" t="n"/>
      <c r="P24" s="32">
        <f>C24&amp;"|"&amp;E24</f>
        <v/>
      </c>
      <c r="Q24" s="33" t="inlineStr">
        <is>
          <t>Smurfit Kappa Saillat: integrated kraft pulp + kraftliner (Packaging Europe; HYFLEXPOWER project)</t>
        </is>
      </c>
    </row>
    <row r="25">
      <c r="A25" s="22" t="n">
        <v>44375521</v>
      </c>
      <c r="B25" s="23" t="inlineStr">
        <is>
          <t>Alizay Papier SASU - VPK Group</t>
        </is>
      </c>
      <c r="C25" s="23" t="inlineStr">
        <is>
          <t>France</t>
        </is>
      </c>
      <c r="D25" s="34" t="inlineStr">
        <is>
          <t>Paper/Board</t>
        </is>
      </c>
      <c r="E25" s="22" t="inlineStr">
        <is>
          <t>C17xP</t>
        </is>
      </c>
      <c r="F25" s="25" t="n">
        <v>980162.6200300002</v>
      </c>
      <c r="G25" s="26" t="inlineStr">
        <is>
          <t>PROXY</t>
        </is>
      </c>
      <c r="H25" s="27">
        <f>VLOOKUP(D25,Parameters!$A$5:$B$8,2,FALSE())</f>
        <v/>
      </c>
      <c r="I25" s="28">
        <f>IFERROR(IF(VLOOKUP(P25,Fossil_Shares!$J$3:$K$98,2,FALSE())="",VLOOKUP(E25,Parameters!$A$12:$B$14,2,FALSE()),VLOOKUP(P25,Fossil_Shares!$J$3:$K$98,2,FALSE())),VLOOKUP(E25,Parameters!$A$12:$B$14,2,FALSE()))</f>
        <v/>
      </c>
      <c r="J25" s="22">
        <f>IFERROR(IF(VLOOKUP(P25,Fossil_Shares!$J$3:$K$98,2,FALSE())="","EU27 fallback","Eurostat"),"EU27 fallback")</f>
        <v/>
      </c>
      <c r="K25" s="29">
        <f>VLOOKUP(D25,Parameters!$A$18:$B$21,2,FALSE())</f>
        <v/>
      </c>
      <c r="L25" s="30">
        <f>IF(N25="YES",F25*H25,0)</f>
        <v/>
      </c>
      <c r="M25" s="30">
        <f>L25*I25*K25</f>
        <v/>
      </c>
      <c r="N25" s="31" t="inlineStr">
        <is>
          <t>YES</t>
        </is>
      </c>
      <c r="O25" s="23" t="n"/>
      <c r="P25" s="32">
        <f>C25&amp;"|"&amp;E25</f>
        <v/>
      </c>
      <c r="Q25" s="33" t="inlineStr">
        <is>
          <t>VPK Alizay: recycled containerboard; no virgin pulp — Pulp misc. = RCF prep</t>
        </is>
      </c>
    </row>
    <row r="26" ht="24" customHeight="1" s="80">
      <c r="A26" s="22" t="n">
        <v>44375516</v>
      </c>
      <c r="B26" s="23" t="inlineStr">
        <is>
          <t>Rayonier Advanced Materials</t>
        </is>
      </c>
      <c r="C26" s="23" t="inlineStr">
        <is>
          <t>France</t>
        </is>
      </c>
      <c r="D26" s="35" t="inlineStr">
        <is>
          <t>Pulp</t>
        </is>
      </c>
      <c r="E26" s="22" t="inlineStr">
        <is>
          <t>C1711</t>
        </is>
      </c>
      <c r="F26" s="25" t="n"/>
      <c r="G26" s="36" t="inlineStr">
        <is>
          <t>ok</t>
        </is>
      </c>
      <c r="H26" s="27">
        <f>VLOOKUP(D26,Parameters!$A$5:$B$8,2,FALSE())</f>
        <v/>
      </c>
      <c r="I26" s="28">
        <f>IFERROR(IF(VLOOKUP(P26,Fossil_Shares!$J$3:$K$98,2,FALSE())="",VLOOKUP(E26,Parameters!$A$12:$B$14,2,FALSE()),VLOOKUP(P26,Fossil_Shares!$J$3:$K$98,2,FALSE())),VLOOKUP(E26,Parameters!$A$12:$B$14,2,FALSE()))</f>
        <v/>
      </c>
      <c r="J26" s="22">
        <f>IFERROR(IF(VLOOKUP(P26,Fossil_Shares!$J$3:$K$98,2,FALSE())="","EU27 fallback","Eurostat"),"EU27 fallback")</f>
        <v/>
      </c>
      <c r="K26" s="29">
        <f>VLOOKUP(D26,Parameters!$A$18:$B$21,2,FALSE())</f>
        <v/>
      </c>
      <c r="L26" s="30">
        <f>IF(N26="YES",F26*H26,0)</f>
        <v/>
      </c>
      <c r="M26" s="30">
        <f>L26*I26*K26</f>
        <v/>
      </c>
      <c r="N26" s="31" t="inlineStr">
        <is>
          <t>YES</t>
        </is>
      </c>
      <c r="O26" s="23" t="n"/>
      <c r="P26" s="32">
        <f>C26&amp;"|"&amp;E26</f>
        <v/>
      </c>
      <c r="Q26" s="33" t="inlineStr">
        <is>
          <t>RYAM Tartas: dissolving/high-purity cellulose (acid-sulphite pine) + biomaterials; no paper (RYAM; MDPI)</t>
        </is>
      </c>
    </row>
    <row r="27" ht="24" customHeight="1" s="80">
      <c r="A27" s="22" t="n">
        <v>44375510</v>
      </c>
      <c r="B27" s="23" t="inlineStr">
        <is>
          <t>GRuNPERGA Papier Pulp Mill</t>
        </is>
      </c>
      <c r="C27" s="23" t="inlineStr">
        <is>
          <t>Germany</t>
        </is>
      </c>
      <c r="D27" s="34" t="inlineStr">
        <is>
          <t>Paper/Board</t>
        </is>
      </c>
      <c r="E27" s="22" t="inlineStr">
        <is>
          <t>C17xP</t>
        </is>
      </c>
      <c r="F27" s="25" t="n">
        <v>54016.84180900001</v>
      </c>
      <c r="G27" s="36" t="inlineStr">
        <is>
          <t>ok</t>
        </is>
      </c>
      <c r="H27" s="27">
        <f>VLOOKUP(D27,Parameters!$A$5:$B$8,2,FALSE())</f>
        <v/>
      </c>
      <c r="I27" s="28">
        <f>IFERROR(IF(VLOOKUP(P27,Fossil_Shares!$J$3:$K$98,2,FALSE())="",VLOOKUP(E27,Parameters!$A$12:$B$14,2,FALSE()),VLOOKUP(P27,Fossil_Shares!$J$3:$K$98,2,FALSE())),VLOOKUP(E27,Parameters!$A$12:$B$14,2,FALSE()))</f>
        <v/>
      </c>
      <c r="J27" s="22">
        <f>IFERROR(IF(VLOOKUP(P27,Fossil_Shares!$J$3:$K$98,2,FALSE())="","EU27 fallback","Eurostat"),"EU27 fallback")</f>
        <v/>
      </c>
      <c r="K27" s="29">
        <f>VLOOKUP(D27,Parameters!$A$18:$B$21,2,FALSE())</f>
        <v/>
      </c>
      <c r="L27" s="30">
        <f>IF(N27="YES",F27*H27,0)</f>
        <v/>
      </c>
      <c r="M27" s="30">
        <f>L27*I27*K27</f>
        <v/>
      </c>
      <c r="N27" s="31" t="inlineStr">
        <is>
          <t>YES</t>
        </is>
      </c>
      <c r="O27" s="23" t="n"/>
      <c r="P27" s="32">
        <f>C27&amp;"|"&amp;E27</f>
        <v/>
      </c>
      <c r="Q27" s="33" t="inlineStr">
        <is>
          <t>Grünberg specialty paper mill; mechanical tag — treat as paper pending verification</t>
        </is>
      </c>
    </row>
    <row r="28" ht="24" customHeight="1" s="80">
      <c r="A28" s="22" t="n">
        <v>44375515</v>
      </c>
      <c r="B28" s="23" t="inlineStr">
        <is>
          <t>Katz GmbH &amp; Co. KG</t>
        </is>
      </c>
      <c r="C28" s="23" t="inlineStr">
        <is>
          <t>Germany</t>
        </is>
      </c>
      <c r="D28" s="24" t="inlineStr">
        <is>
          <t>Integrated</t>
        </is>
      </c>
      <c r="E28" s="22" t="inlineStr">
        <is>
          <t>C17</t>
        </is>
      </c>
      <c r="F28" s="25" t="n">
        <v>164844.49998</v>
      </c>
      <c r="G28" s="26" t="inlineStr">
        <is>
          <t>PROXY</t>
        </is>
      </c>
      <c r="H28" s="27">
        <f>VLOOKUP(D28,Parameters!$A$5:$B$8,2,FALSE())</f>
        <v/>
      </c>
      <c r="I28" s="28">
        <f>IFERROR(IF(VLOOKUP(P28,Fossil_Shares!$J$3:$K$98,2,FALSE())="",VLOOKUP(E28,Parameters!$A$12:$B$14,2,FALSE()),VLOOKUP(P28,Fossil_Shares!$J$3:$K$98,2,FALSE())),VLOOKUP(E28,Parameters!$A$12:$B$14,2,FALSE()))</f>
        <v/>
      </c>
      <c r="J28" s="22">
        <f>IFERROR(IF(VLOOKUP(P28,Fossil_Shares!$J$3:$K$98,2,FALSE())="","EU27 fallback","Eurostat"),"EU27 fallback")</f>
        <v/>
      </c>
      <c r="K28" s="29">
        <f>VLOOKUP(D28,Parameters!$A$18:$B$21,2,FALSE())</f>
        <v/>
      </c>
      <c r="L28" s="30">
        <f>IF(N28="YES",F28*H28,0)</f>
        <v/>
      </c>
      <c r="M28" s="30">
        <f>L28*I28*K28</f>
        <v/>
      </c>
      <c r="N28" s="31" t="inlineStr">
        <is>
          <t>YES</t>
        </is>
      </c>
      <c r="O28" s="23" t="n"/>
      <c r="P28" s="32">
        <f>C28&amp;"|"&amp;E28</f>
        <v/>
      </c>
      <c r="Q28" s="33" t="inlineStr">
        <is>
          <t>Weisenbach: own groundwood pulp + board for beer mats/display board (Katz Group)</t>
        </is>
      </c>
    </row>
    <row r="29" ht="24" customHeight="1" s="80">
      <c r="A29" s="22" t="n">
        <v>44375504</v>
      </c>
      <c r="B29" s="23" t="inlineStr">
        <is>
          <t>Sappi Alfeld Kraft Pulp and Paper Mill</t>
        </is>
      </c>
      <c r="C29" s="23" t="inlineStr">
        <is>
          <t>Germany</t>
        </is>
      </c>
      <c r="D29" s="24" t="inlineStr">
        <is>
          <t>Integrated</t>
        </is>
      </c>
      <c r="E29" s="22" t="inlineStr">
        <is>
          <t>C17</t>
        </is>
      </c>
      <c r="F29" s="25" t="n">
        <v>164844.49998</v>
      </c>
      <c r="G29" s="26" t="inlineStr">
        <is>
          <t>PROXY</t>
        </is>
      </c>
      <c r="H29" s="27">
        <f>VLOOKUP(D29,Parameters!$A$5:$B$8,2,FALSE())</f>
        <v/>
      </c>
      <c r="I29" s="28">
        <f>IFERROR(IF(VLOOKUP(P29,Fossil_Shares!$J$3:$K$98,2,FALSE())="",VLOOKUP(E29,Parameters!$A$12:$B$14,2,FALSE()),VLOOKUP(P29,Fossil_Shares!$J$3:$K$98,2,FALSE())),VLOOKUP(E29,Parameters!$A$12:$B$14,2,FALSE()))</f>
        <v/>
      </c>
      <c r="J29" s="22">
        <f>IFERROR(IF(VLOOKUP(P29,Fossil_Shares!$J$3:$K$98,2,FALSE())="","EU27 fallback","Eurostat"),"EU27 fallback")</f>
        <v/>
      </c>
      <c r="K29" s="29">
        <f>VLOOKUP(D29,Parameters!$A$18:$B$21,2,FALSE())</f>
        <v/>
      </c>
      <c r="L29" s="30">
        <f>IF(N29="YES",F29*H29,0)</f>
        <v/>
      </c>
      <c r="M29" s="30">
        <f>L29*I29*K29</f>
        <v/>
      </c>
      <c r="N29" s="31" t="inlineStr">
        <is>
          <t>YES</t>
        </is>
      </c>
      <c r="O29" s="23" t="n"/>
      <c r="P29" s="32">
        <f>C29&amp;"|"&amp;E29</f>
        <v/>
      </c>
      <c r="Q29" s="33" t="inlineStr">
        <is>
          <t>On-site bleached pulp + coated/uncoated specialty &amp; packaging papers (Sappi mill page)</t>
        </is>
      </c>
    </row>
    <row r="30" ht="24" customHeight="1" s="80">
      <c r="A30" s="22" t="n">
        <v>44375508</v>
      </c>
      <c r="B30" s="23" t="inlineStr">
        <is>
          <t>Lenk Paper GmbH - Papierfabrik Schleipen</t>
        </is>
      </c>
      <c r="C30" s="23" t="inlineStr">
        <is>
          <t>Germany</t>
        </is>
      </c>
      <c r="D30" s="34" t="inlineStr">
        <is>
          <t>Paper/Board</t>
        </is>
      </c>
      <c r="E30" s="22" t="inlineStr">
        <is>
          <t>C17xP</t>
        </is>
      </c>
      <c r="F30" s="25" t="n">
        <v>164844.49998</v>
      </c>
      <c r="G30" s="26" t="inlineStr">
        <is>
          <t>PROXY</t>
        </is>
      </c>
      <c r="H30" s="27">
        <f>VLOOKUP(D30,Parameters!$A$5:$B$8,2,FALSE())</f>
        <v/>
      </c>
      <c r="I30" s="28">
        <f>IFERROR(IF(VLOOKUP(P30,Fossil_Shares!$J$3:$K$98,2,FALSE())="",VLOOKUP(E30,Parameters!$A$12:$B$14,2,FALSE()),VLOOKUP(P30,Fossil_Shares!$J$3:$K$98,2,FALSE())),VLOOKUP(E30,Parameters!$A$12:$B$14,2,FALSE()))</f>
        <v/>
      </c>
      <c r="J30" s="22">
        <f>IFERROR(IF(VLOOKUP(P30,Fossil_Shares!$J$3:$K$98,2,FALSE())="","EU27 fallback","Eurostat"),"EU27 fallback")</f>
        <v/>
      </c>
      <c r="K30" s="29">
        <f>VLOOKUP(D30,Parameters!$A$18:$B$21,2,FALSE())</f>
        <v/>
      </c>
      <c r="L30" s="30">
        <f>IF(N30="YES",F30*H30,0)</f>
        <v/>
      </c>
      <c r="M30" s="30">
        <f>L30*I30*K30</f>
        <v/>
      </c>
      <c r="N30" s="31" t="inlineStr">
        <is>
          <t>YES</t>
        </is>
      </c>
      <c r="O30" s="23" t="inlineStr">
        <is>
          <t>NEEDS_VERIFICATION</t>
        </is>
      </c>
      <c r="P30" s="32">
        <f>C30&amp;"|"&amp;E30</f>
        <v/>
      </c>
      <c r="Q30" s="33" t="inlineStr">
        <is>
          <t>Specialty/décor paper; chemical + mechanical tag — verify on-site pulp (could be Integrated)</t>
        </is>
      </c>
    </row>
    <row r="31">
      <c r="A31" s="22" t="n">
        <v>44375506</v>
      </c>
      <c r="B31" s="23" t="inlineStr">
        <is>
          <t>Heinrich Schaller Pappenfabrik e.K. Pulp Mill</t>
        </is>
      </c>
      <c r="C31" s="23" t="inlineStr">
        <is>
          <t>Germany</t>
        </is>
      </c>
      <c r="D31" s="34" t="inlineStr">
        <is>
          <t>Paper/Board</t>
        </is>
      </c>
      <c r="E31" s="22" t="inlineStr">
        <is>
          <t>C17xP</t>
        </is>
      </c>
      <c r="F31" s="25" t="n">
        <v>164844.49998</v>
      </c>
      <c r="G31" s="26" t="inlineStr">
        <is>
          <t>PROXY</t>
        </is>
      </c>
      <c r="H31" s="27">
        <f>VLOOKUP(D31,Parameters!$A$5:$B$8,2,FALSE())</f>
        <v/>
      </c>
      <c r="I31" s="28">
        <f>IFERROR(IF(VLOOKUP(P31,Fossil_Shares!$J$3:$K$98,2,FALSE())="",VLOOKUP(E31,Parameters!$A$12:$B$14,2,FALSE()),VLOOKUP(P31,Fossil_Shares!$J$3:$K$98,2,FALSE())),VLOOKUP(E31,Parameters!$A$12:$B$14,2,FALSE()))</f>
        <v/>
      </c>
      <c r="J31" s="22">
        <f>IFERROR(IF(VLOOKUP(P31,Fossil_Shares!$J$3:$K$98,2,FALSE())="","EU27 fallback","Eurostat"),"EU27 fallback")</f>
        <v/>
      </c>
      <c r="K31" s="29">
        <f>VLOOKUP(D31,Parameters!$A$18:$B$21,2,FALSE())</f>
        <v/>
      </c>
      <c r="L31" s="30">
        <f>IF(N31="YES",F31*H31,0)</f>
        <v/>
      </c>
      <c r="M31" s="30">
        <f>L31*I31*K31</f>
        <v/>
      </c>
      <c r="N31" s="31" t="inlineStr">
        <is>
          <t>YES</t>
        </is>
      </c>
      <c r="O31" s="23" t="n"/>
      <c r="P31" s="32">
        <f>C31&amp;"|"&amp;E31</f>
        <v/>
      </c>
      <c r="Q31" s="33" t="inlineStr">
        <is>
          <t>Pappenfabrik = board mill; likely mechanical-pulp board (integrated possible)</t>
        </is>
      </c>
    </row>
    <row r="32">
      <c r="A32" s="22" t="n">
        <v>44375507</v>
      </c>
      <c r="B32" s="23" t="inlineStr">
        <is>
          <t>Dynos GmbH - Niederlassung Bad Durkheim</t>
        </is>
      </c>
      <c r="C32" s="23" t="inlineStr">
        <is>
          <t>Germany</t>
        </is>
      </c>
      <c r="D32" s="34" t="inlineStr">
        <is>
          <t>Paper/Board</t>
        </is>
      </c>
      <c r="E32" s="22" t="inlineStr">
        <is>
          <t>C17xP</t>
        </is>
      </c>
      <c r="F32" s="25" t="n">
        <v>164844.49998</v>
      </c>
      <c r="G32" s="26" t="inlineStr">
        <is>
          <t>PROXY</t>
        </is>
      </c>
      <c r="H32" s="27">
        <f>VLOOKUP(D32,Parameters!$A$5:$B$8,2,FALSE())</f>
        <v/>
      </c>
      <c r="I32" s="28">
        <f>IFERROR(IF(VLOOKUP(P32,Fossil_Shares!$J$3:$K$98,2,FALSE())="",VLOOKUP(E32,Parameters!$A$12:$B$14,2,FALSE()),VLOOKUP(P32,Fossil_Shares!$J$3:$K$98,2,FALSE())),VLOOKUP(E32,Parameters!$A$12:$B$14,2,FALSE()))</f>
        <v/>
      </c>
      <c r="J32" s="22">
        <f>IFERROR(IF(VLOOKUP(P32,Fossil_Shares!$J$3:$K$98,2,FALSE())="","EU27 fallback","Eurostat"),"EU27 fallback")</f>
        <v/>
      </c>
      <c r="K32" s="29">
        <f>VLOOKUP(D32,Parameters!$A$18:$B$21,2,FALSE())</f>
        <v/>
      </c>
      <c r="L32" s="30">
        <f>IF(N32="YES",F32*H32,0)</f>
        <v/>
      </c>
      <c r="M32" s="30">
        <f>L32*I32*K32</f>
        <v/>
      </c>
      <c r="N32" s="31" t="inlineStr">
        <is>
          <t>YES</t>
        </is>
      </c>
      <c r="O32" s="23" t="inlineStr">
        <is>
          <t>NEEDS_VERIFICATION</t>
        </is>
      </c>
      <c r="P32" s="32">
        <f>C32&amp;"|"&amp;E32</f>
        <v/>
      </c>
      <c r="Q32" s="33" t="inlineStr">
        <is>
          <t>Semi-chem tag; likely board/moulded-fibre — verify production type</t>
        </is>
      </c>
    </row>
    <row r="33" ht="24" customHeight="1" s="80">
      <c r="A33" s="22" t="n">
        <v>44375509</v>
      </c>
      <c r="B33" s="23" t="inlineStr">
        <is>
          <t>Sprick GmbH Bielefelder Papier- und Wellpappenwerke &amp; Co.- Hauptverwaltung</t>
        </is>
      </c>
      <c r="C33" s="23" t="inlineStr">
        <is>
          <t>Germany</t>
        </is>
      </c>
      <c r="D33" s="34" t="inlineStr">
        <is>
          <t>Paper/Board</t>
        </is>
      </c>
      <c r="E33" s="22" t="inlineStr">
        <is>
          <t>C17xP</t>
        </is>
      </c>
      <c r="F33" s="25" t="n">
        <v>164844.49998</v>
      </c>
      <c r="G33" s="26" t="inlineStr">
        <is>
          <t>PROXY</t>
        </is>
      </c>
      <c r="H33" s="27">
        <f>VLOOKUP(D33,Parameters!$A$5:$B$8,2,FALSE())</f>
        <v/>
      </c>
      <c r="I33" s="28">
        <f>IFERROR(IF(VLOOKUP(P33,Fossil_Shares!$J$3:$K$98,2,FALSE())="",VLOOKUP(E33,Parameters!$A$12:$B$14,2,FALSE()),VLOOKUP(P33,Fossil_Shares!$J$3:$K$98,2,FALSE())),VLOOKUP(E33,Parameters!$A$12:$B$14,2,FALSE()))</f>
        <v/>
      </c>
      <c r="J33" s="22">
        <f>IFERROR(IF(VLOOKUP(P33,Fossil_Shares!$J$3:$K$98,2,FALSE())="","EU27 fallback","Eurostat"),"EU27 fallback")</f>
        <v/>
      </c>
      <c r="K33" s="29">
        <f>VLOOKUP(D33,Parameters!$A$18:$B$21,2,FALSE())</f>
        <v/>
      </c>
      <c r="L33" s="30">
        <f>IF(N33="YES",F33*H33,0)</f>
        <v/>
      </c>
      <c r="M33" s="30">
        <f>L33*I33*K33</f>
        <v/>
      </c>
      <c r="N33" s="31" t="inlineStr">
        <is>
          <t>YES</t>
        </is>
      </c>
      <c r="O33" s="23" t="n"/>
      <c r="P33" s="32">
        <f>C33&amp;"|"&amp;E33</f>
        <v/>
      </c>
      <c r="Q33" s="33" t="inlineStr">
        <is>
          <t>Recycled containerboard + corrugated; Pulp misc. = recovered-fibre prep (not virgin pulp)</t>
        </is>
      </c>
    </row>
    <row r="34">
      <c r="A34" s="22" t="n">
        <v>44375512</v>
      </c>
      <c r="B34" s="23" t="inlineStr">
        <is>
          <t>Mercer Rosenthal GmbH - MR - Mercer International Group</t>
        </is>
      </c>
      <c r="C34" s="23" t="inlineStr">
        <is>
          <t>Germany</t>
        </is>
      </c>
      <c r="D34" s="35" t="inlineStr">
        <is>
          <t>Pulp</t>
        </is>
      </c>
      <c r="E34" s="22" t="inlineStr">
        <is>
          <t>C1711</t>
        </is>
      </c>
      <c r="F34" s="25" t="n">
        <v>164844.49998</v>
      </c>
      <c r="G34" s="26" t="inlineStr">
        <is>
          <t>PROXY</t>
        </is>
      </c>
      <c r="H34" s="27">
        <f>VLOOKUP(D34,Parameters!$A$5:$B$8,2,FALSE())</f>
        <v/>
      </c>
      <c r="I34" s="28">
        <f>IFERROR(IF(VLOOKUP(P34,Fossil_Shares!$J$3:$K$98,2,FALSE())="",VLOOKUP(E34,Parameters!$A$12:$B$14,2,FALSE()),VLOOKUP(P34,Fossil_Shares!$J$3:$K$98,2,FALSE())),VLOOKUP(E34,Parameters!$A$12:$B$14,2,FALSE()))</f>
        <v/>
      </c>
      <c r="J34" s="22">
        <f>IFERROR(IF(VLOOKUP(P34,Fossil_Shares!$J$3:$K$98,2,FALSE())="","EU27 fallback","Eurostat"),"EU27 fallback")</f>
        <v/>
      </c>
      <c r="K34" s="29">
        <f>VLOOKUP(D34,Parameters!$A$18:$B$21,2,FALSE())</f>
        <v/>
      </c>
      <c r="L34" s="30">
        <f>IF(N34="YES",F34*H34,0)</f>
        <v/>
      </c>
      <c r="M34" s="30">
        <f>L34*I34*K34</f>
        <v/>
      </c>
      <c r="N34" s="31" t="inlineStr">
        <is>
          <t>YES</t>
        </is>
      </c>
      <c r="O34" s="23" t="n"/>
      <c r="P34" s="32">
        <f>C34&amp;"|"&amp;E34</f>
        <v/>
      </c>
      <c r="Q34" s="33" t="inlineStr">
        <is>
          <t>NBSK market pulp ~360kt/yr + lignin/tall oil; no paper (Mercer Int'l 10-K)</t>
        </is>
      </c>
    </row>
    <row r="35" ht="24" customHeight="1" s="80">
      <c r="A35" s="22" t="n">
        <v>44375511</v>
      </c>
      <c r="B35" s="23" t="inlineStr">
        <is>
          <t>Essity Operations Mannheim GmbH Pulp Mill</t>
        </is>
      </c>
      <c r="C35" s="23" t="inlineStr">
        <is>
          <t>Germany</t>
        </is>
      </c>
      <c r="D35" s="37" t="inlineStr">
        <is>
          <t>Tissue</t>
        </is>
      </c>
      <c r="E35" s="22" t="inlineStr">
        <is>
          <t>C17xP</t>
        </is>
      </c>
      <c r="F35" s="25" t="n">
        <v>164844.49998</v>
      </c>
      <c r="G35" s="26" t="inlineStr">
        <is>
          <t>PROXY</t>
        </is>
      </c>
      <c r="H35" s="27">
        <f>VLOOKUP(D35,Parameters!$A$5:$B$8,2,FALSE())</f>
        <v/>
      </c>
      <c r="I35" s="28">
        <f>IFERROR(IF(VLOOKUP(P35,Fossil_Shares!$J$3:$K$98,2,FALSE())="",VLOOKUP(E35,Parameters!$A$12:$B$14,2,FALSE()),VLOOKUP(P35,Fossil_Shares!$J$3:$K$98,2,FALSE())),VLOOKUP(E35,Parameters!$A$12:$B$14,2,FALSE()))</f>
        <v/>
      </c>
      <c r="J35" s="22">
        <f>IFERROR(IF(VLOOKUP(P35,Fossil_Shares!$J$3:$K$98,2,FALSE())="","EU27 fallback","Eurostat"),"EU27 fallback")</f>
        <v/>
      </c>
      <c r="K35" s="29">
        <f>VLOOKUP(D35,Parameters!$A$18:$B$21,2,FALSE())</f>
        <v/>
      </c>
      <c r="L35" s="30">
        <f>IF(N35="YES",F35*H35,0)</f>
        <v/>
      </c>
      <c r="M35" s="30">
        <f>L35*I35*K35</f>
        <v/>
      </c>
      <c r="N35" s="31" t="inlineStr">
        <is>
          <t>YES</t>
        </is>
      </c>
      <c r="O35" s="23" t="n"/>
      <c r="P35" s="32">
        <f>C35&amp;"|"&amp;E35</f>
        <v/>
      </c>
      <c r="Q35" s="33" t="inlineStr">
        <is>
          <t>Largest European tissue plant (283kt/yr) + wheat-straw alt-fibre pulp on-site (Essity press release)</t>
        </is>
      </c>
    </row>
    <row r="36">
      <c r="A36" s="38" t="n">
        <v>44375513</v>
      </c>
      <c r="B36" s="39" t="inlineStr">
        <is>
          <t>Sappi Stockstadt Mill</t>
        </is>
      </c>
      <c r="C36" s="39" t="inlineStr">
        <is>
          <t>Germany</t>
        </is>
      </c>
      <c r="D36" s="39" t="inlineStr">
        <is>
          <t>Integrated</t>
        </is>
      </c>
      <c r="E36" s="38" t="inlineStr">
        <is>
          <t>C17</t>
        </is>
      </c>
      <c r="F36" s="40" t="n">
        <v>164844.49998</v>
      </c>
      <c r="G36" s="26" t="inlineStr">
        <is>
          <t>PROXY</t>
        </is>
      </c>
      <c r="H36" s="27">
        <f>VLOOKUP(D36,Parameters!$A$5:$B$8,2,FALSE())</f>
        <v/>
      </c>
      <c r="I36" s="41">
        <f>IFERROR(IF(VLOOKUP(P36,Fossil_Shares!$J$3:$K$98,2,FALSE())="",VLOOKUP(E36,Parameters!$A$12:$B$14,2,FALSE()),VLOOKUP(P36,Fossil_Shares!$J$3:$K$98,2,FALSE())),VLOOKUP(E36,Parameters!$A$12:$B$14,2,FALSE()))</f>
        <v/>
      </c>
      <c r="J36" s="38">
        <f>IFERROR(IF(VLOOKUP(P36,Fossil_Shares!$J$3:$K$98,2,FALSE())="","EU27 fallback","Eurostat"),"EU27 fallback")</f>
        <v/>
      </c>
      <c r="K36" s="42">
        <f>VLOOKUP(D36,Parameters!$A$18:$B$21,2,FALSE())</f>
        <v/>
      </c>
      <c r="L36" s="43">
        <f>IF(N36="YES",F36*H36,0)</f>
        <v/>
      </c>
      <c r="M36" s="43">
        <f>L36*I36*K36</f>
        <v/>
      </c>
      <c r="N36" s="44" t="inlineStr">
        <is>
          <t>no</t>
        </is>
      </c>
      <c r="O36" s="39" t="inlineStr">
        <is>
          <t>CLOSED|DUPLICATE</t>
        </is>
      </c>
      <c r="P36" s="45">
        <f>C36&amp;"|"&amp;E36</f>
        <v/>
      </c>
      <c r="Q36" s="46" t="inlineStr">
        <is>
          <t>Duplicate of 44375514 — same integrated Stockstadt mill; CLOSED Q1 2024</t>
        </is>
      </c>
    </row>
    <row r="37" ht="24" customHeight="1" s="80">
      <c r="A37" s="38" t="n">
        <v>44375514</v>
      </c>
      <c r="B37" s="39" t="inlineStr">
        <is>
          <t>Sappi Stockstadt GmbH - Division of Sappi Fine Paper Europe</t>
        </is>
      </c>
      <c r="C37" s="39" t="inlineStr">
        <is>
          <t>Germany</t>
        </is>
      </c>
      <c r="D37" s="39" t="inlineStr">
        <is>
          <t>Integrated</t>
        </is>
      </c>
      <c r="E37" s="38" t="inlineStr">
        <is>
          <t>C17</t>
        </is>
      </c>
      <c r="F37" s="40" t="n">
        <v>164844.49998</v>
      </c>
      <c r="G37" s="26" t="inlineStr">
        <is>
          <t>PROXY</t>
        </is>
      </c>
      <c r="H37" s="27">
        <f>VLOOKUP(D37,Parameters!$A$5:$B$8,2,FALSE())</f>
        <v/>
      </c>
      <c r="I37" s="41">
        <f>IFERROR(IF(VLOOKUP(P37,Fossil_Shares!$J$3:$K$98,2,FALSE())="",VLOOKUP(E37,Parameters!$A$12:$B$14,2,FALSE()),VLOOKUP(P37,Fossil_Shares!$J$3:$K$98,2,FALSE())),VLOOKUP(E37,Parameters!$A$12:$B$14,2,FALSE()))</f>
        <v/>
      </c>
      <c r="J37" s="38">
        <f>IFERROR(IF(VLOOKUP(P37,Fossil_Shares!$J$3:$K$98,2,FALSE())="","EU27 fallback","Eurostat"),"EU27 fallback")</f>
        <v/>
      </c>
      <c r="K37" s="42">
        <f>VLOOKUP(D37,Parameters!$A$18:$B$21,2,FALSE())</f>
        <v/>
      </c>
      <c r="L37" s="43">
        <f>IF(N37="YES",F37*H37,0)</f>
        <v/>
      </c>
      <c r="M37" s="43">
        <f>L37*I37*K37</f>
        <v/>
      </c>
      <c r="N37" s="44" t="inlineStr">
        <is>
          <t>no</t>
        </is>
      </c>
      <c r="O37" s="39" t="inlineStr">
        <is>
          <t>CLOSED</t>
        </is>
      </c>
      <c r="P37" s="45">
        <f>C37&amp;"|"&amp;E37</f>
        <v/>
      </c>
      <c r="Q37" s="46" t="inlineStr">
        <is>
          <t>Integrated 145kt internal pulp + 220kt CWF paper — CLOSED Q1 2024 (Printing Impressions)</t>
        </is>
      </c>
    </row>
    <row r="38">
      <c r="A38" s="22" t="n">
        <v>44375505</v>
      </c>
      <c r="B38" s="23" t="inlineStr">
        <is>
          <t>ZS Zellstoff Stendal GmbH - Mercer Stendal</t>
        </is>
      </c>
      <c r="C38" s="23" t="inlineStr">
        <is>
          <t>Germany</t>
        </is>
      </c>
      <c r="D38" s="35" t="inlineStr">
        <is>
          <t>Pulp</t>
        </is>
      </c>
      <c r="E38" s="22" t="inlineStr">
        <is>
          <t>C1711</t>
        </is>
      </c>
      <c r="F38" s="25" t="n">
        <v>275672.1581999999</v>
      </c>
      <c r="G38" s="36" t="inlineStr">
        <is>
          <t>ok</t>
        </is>
      </c>
      <c r="H38" s="27">
        <f>VLOOKUP(D38,Parameters!$A$5:$B$8,2,FALSE())</f>
        <v/>
      </c>
      <c r="I38" s="28">
        <f>IFERROR(IF(VLOOKUP(P38,Fossil_Shares!$J$3:$K$98,2,FALSE())="",VLOOKUP(E38,Parameters!$A$12:$B$14,2,FALSE()),VLOOKUP(P38,Fossil_Shares!$J$3:$K$98,2,FALSE())),VLOOKUP(E38,Parameters!$A$12:$B$14,2,FALSE()))</f>
        <v/>
      </c>
      <c r="J38" s="22">
        <f>IFERROR(IF(VLOOKUP(P38,Fossil_Shares!$J$3:$K$98,2,FALSE())="","EU27 fallback","Eurostat"),"EU27 fallback")</f>
        <v/>
      </c>
      <c r="K38" s="29">
        <f>VLOOKUP(D38,Parameters!$A$18:$B$21,2,FALSE())</f>
        <v/>
      </c>
      <c r="L38" s="30">
        <f>IF(N38="YES",F38*H38,0)</f>
        <v/>
      </c>
      <c r="M38" s="30">
        <f>L38*I38*K38</f>
        <v/>
      </c>
      <c r="N38" s="31" t="inlineStr">
        <is>
          <t>YES</t>
        </is>
      </c>
      <c r="O38" s="23" t="n"/>
      <c r="P38" s="32">
        <f>C38&amp;"|"&amp;E38</f>
        <v/>
      </c>
      <c r="Q38" s="33" t="inlineStr">
        <is>
          <t>Greenfield single-line NBSK market pulp mill 740kt/yr; no paper (Mercer Int'l)</t>
        </is>
      </c>
    </row>
    <row r="39" ht="24" customHeight="1" s="80">
      <c r="A39" s="22" t="n">
        <v>44375539</v>
      </c>
      <c r="B39" s="23" t="inlineStr">
        <is>
          <t>Palm GmbH &amp; Co. KG</t>
        </is>
      </c>
      <c r="C39" s="23" t="inlineStr">
        <is>
          <t>Germany</t>
        </is>
      </c>
      <c r="D39" s="34" t="inlineStr">
        <is>
          <t>Paper/Board</t>
        </is>
      </c>
      <c r="E39" s="22" t="inlineStr">
        <is>
          <t>C17xP</t>
        </is>
      </c>
      <c r="F39" s="25" t="n">
        <v>490081.30998</v>
      </c>
      <c r="G39" s="26" t="inlineStr">
        <is>
          <t>PROXY</t>
        </is>
      </c>
      <c r="H39" s="27">
        <f>VLOOKUP(D39,Parameters!$A$5:$B$8,2,FALSE())</f>
        <v/>
      </c>
      <c r="I39" s="28">
        <f>IFERROR(IF(VLOOKUP(P39,Fossil_Shares!$J$3:$K$98,2,FALSE())="",VLOOKUP(E39,Parameters!$A$12:$B$14,2,FALSE()),VLOOKUP(P39,Fossil_Shares!$J$3:$K$98,2,FALSE())),VLOOKUP(E39,Parameters!$A$12:$B$14,2,FALSE()))</f>
        <v/>
      </c>
      <c r="J39" s="22">
        <f>IFERROR(IF(VLOOKUP(P39,Fossil_Shares!$J$3:$K$98,2,FALSE())="","EU27 fallback","Eurostat"),"EU27 fallback")</f>
        <v/>
      </c>
      <c r="K39" s="29">
        <f>VLOOKUP(D39,Parameters!$A$18:$B$21,2,FALSE())</f>
        <v/>
      </c>
      <c r="L39" s="30">
        <f>IF(N39="YES",F39*H39,0)</f>
        <v/>
      </c>
      <c r="M39" s="30">
        <f>L39*I39*K39</f>
        <v/>
      </c>
      <c r="N39" s="31" t="inlineStr">
        <is>
          <t>YES</t>
        </is>
      </c>
      <c r="O39" s="23" t="inlineStr">
        <is>
          <t>COUNTRY_CORRECTED</t>
        </is>
      </c>
      <c r="P39" s="32">
        <f>C39&amp;"|"&amp;E39</f>
        <v/>
      </c>
      <c r="Q39" s="33" t="inlineStr">
        <is>
          <t>COUNTRY CORRECTED to DEU. Palm: recycled newsprint/containerboard; no virgin pulp</t>
        </is>
      </c>
    </row>
    <row r="40" ht="24" customHeight="1" s="80">
      <c r="A40" s="38" t="n">
        <v>44375558</v>
      </c>
      <c r="B40" s="39" t="inlineStr">
        <is>
          <t>Arctic Paper Mochenwangen</t>
        </is>
      </c>
      <c r="C40" s="39" t="inlineStr">
        <is>
          <t>Germany</t>
        </is>
      </c>
      <c r="D40" s="39" t="inlineStr">
        <is>
          <t>Paper/Board</t>
        </is>
      </c>
      <c r="E40" s="38" t="inlineStr">
        <is>
          <t>C17xP</t>
        </is>
      </c>
      <c r="F40" s="40" t="n"/>
      <c r="G40" s="36" t="inlineStr">
        <is>
          <t>ok</t>
        </is>
      </c>
      <c r="H40" s="27">
        <f>VLOOKUP(D40,Parameters!$A$5:$B$8,2,FALSE())</f>
        <v/>
      </c>
      <c r="I40" s="41">
        <f>IFERROR(IF(VLOOKUP(P40,Fossil_Shares!$J$3:$K$98,2,FALSE())="",VLOOKUP(E40,Parameters!$A$12:$B$14,2,FALSE()),VLOOKUP(P40,Fossil_Shares!$J$3:$K$98,2,FALSE())),VLOOKUP(E40,Parameters!$A$12:$B$14,2,FALSE()))</f>
        <v/>
      </c>
      <c r="J40" s="38">
        <f>IFERROR(IF(VLOOKUP(P40,Fossil_Shares!$J$3:$K$98,2,FALSE())="","EU27 fallback","Eurostat"),"EU27 fallback")</f>
        <v/>
      </c>
      <c r="K40" s="42">
        <f>VLOOKUP(D40,Parameters!$A$18:$B$21,2,FALSE())</f>
        <v/>
      </c>
      <c r="L40" s="43">
        <f>IF(N40="YES",F40*H40,0)</f>
        <v/>
      </c>
      <c r="M40" s="43">
        <f>L40*I40*K40</f>
        <v/>
      </c>
      <c r="N40" s="44" t="inlineStr">
        <is>
          <t>no</t>
        </is>
      </c>
      <c r="O40" s="39" t="inlineStr">
        <is>
          <t>CLOSED|COUNTRY_CORRECTED</t>
        </is>
      </c>
      <c r="P40" s="45">
        <f>C40&amp;"|"&amp;E40</f>
        <v/>
      </c>
      <c r="Q40" s="46" t="inlineStr">
        <is>
          <t>COUNTRY CORRECTED to DEU (Mochenwangen, Baden-Württemberg). Arctic Paper graphic paper mill — CLOSED 2015</t>
        </is>
      </c>
    </row>
    <row r="41">
      <c r="A41" s="22" t="n">
        <v>44375529</v>
      </c>
      <c r="B41" s="23" t="inlineStr">
        <is>
          <t>Hellenic Pulp &amp; Paper Industry (ELASPA)</t>
        </is>
      </c>
      <c r="C41" s="23" t="inlineStr">
        <is>
          <t>Greece</t>
        </is>
      </c>
      <c r="D41" s="34" t="inlineStr">
        <is>
          <t>Paper/Board</t>
        </is>
      </c>
      <c r="E41" s="22" t="inlineStr">
        <is>
          <t>C17</t>
        </is>
      </c>
      <c r="F41" s="25" t="n">
        <v>490081.30998</v>
      </c>
      <c r="G41" s="26" t="inlineStr">
        <is>
          <t>PROXY</t>
        </is>
      </c>
      <c r="H41" s="27">
        <f>VLOOKUP(D41,Parameters!$A$5:$B$8,2,FALSE())</f>
        <v/>
      </c>
      <c r="I41" s="28">
        <f>IFERROR(IF(VLOOKUP(P41,Fossil_Shares!$J$3:$K$98,2,FALSE())="",VLOOKUP(E41,Parameters!$A$12:$B$14,2,FALSE()),VLOOKUP(P41,Fossil_Shares!$J$3:$K$98,2,FALSE())),VLOOKUP(E41,Parameters!$A$12:$B$14,2,FALSE()))</f>
        <v/>
      </c>
      <c r="J41" s="22">
        <f>IFERROR(IF(VLOOKUP(P41,Fossil_Shares!$J$3:$K$98,2,FALSE())="","EU27 fallback","Eurostat"),"EU27 fallback")</f>
        <v/>
      </c>
      <c r="K41" s="29">
        <f>VLOOKUP(D41,Parameters!$A$18:$B$21,2,FALSE())</f>
        <v/>
      </c>
      <c r="L41" s="30">
        <f>IF(N41="YES",F41*H41,0)</f>
        <v/>
      </c>
      <c r="M41" s="30">
        <f>L41*I41*K41</f>
        <v/>
      </c>
      <c r="N41" s="31" t="inlineStr">
        <is>
          <t>YES</t>
        </is>
      </c>
      <c r="O41" s="23" t="inlineStr">
        <is>
          <t>NEEDS_VERIFICATION</t>
        </is>
      </c>
      <c r="P41" s="32">
        <f>C41&amp;"|"&amp;E41</f>
        <v/>
      </c>
      <c r="Q41" s="33" t="inlineStr">
        <is>
          <t>Name 'Pulp &amp; Paper'; historic Greek mill — verify if operational</t>
        </is>
      </c>
    </row>
    <row r="42" ht="24" customHeight="1" s="80">
      <c r="A42" s="22" t="n">
        <v>44375528</v>
      </c>
      <c r="B42" s="23" t="inlineStr">
        <is>
          <t>Dunapack Zrt Pulp Mill</t>
        </is>
      </c>
      <c r="C42" s="23" t="inlineStr">
        <is>
          <t>Hungary</t>
        </is>
      </c>
      <c r="D42" s="34" t="inlineStr">
        <is>
          <t>Paper/Board</t>
        </is>
      </c>
      <c r="E42" s="22" t="inlineStr">
        <is>
          <t>C17xP</t>
        </is>
      </c>
      <c r="F42" s="25" t="n">
        <v>603176.9969500001</v>
      </c>
      <c r="G42" s="26" t="inlineStr">
        <is>
          <t>PROXY</t>
        </is>
      </c>
      <c r="H42" s="27">
        <f>VLOOKUP(D42,Parameters!$A$5:$B$8,2,FALSE())</f>
        <v/>
      </c>
      <c r="I42" s="28">
        <f>IFERROR(IF(VLOOKUP(P42,Fossil_Shares!$J$3:$K$98,2,FALSE())="",VLOOKUP(E42,Parameters!$A$12:$B$14,2,FALSE()),VLOOKUP(P42,Fossil_Shares!$J$3:$K$98,2,FALSE())),VLOOKUP(E42,Parameters!$A$12:$B$14,2,FALSE()))</f>
        <v/>
      </c>
      <c r="J42" s="22">
        <f>IFERROR(IF(VLOOKUP(P42,Fossil_Shares!$J$3:$K$98,2,FALSE())="","EU27 fallback","Eurostat"),"EU27 fallback")</f>
        <v/>
      </c>
      <c r="K42" s="29">
        <f>VLOOKUP(D42,Parameters!$A$18:$B$21,2,FALSE())</f>
        <v/>
      </c>
      <c r="L42" s="30">
        <f>IF(N42="YES",F42*H42,0)</f>
        <v/>
      </c>
      <c r="M42" s="30">
        <f>L42*I42*K42</f>
        <v/>
      </c>
      <c r="N42" s="31" t="inlineStr">
        <is>
          <t>YES</t>
        </is>
      </c>
      <c r="O42" s="23" t="n"/>
      <c r="P42" s="32">
        <f>C42&amp;"|"&amp;E42</f>
        <v/>
      </c>
      <c r="Q42" s="33" t="inlineStr">
        <is>
          <t>Dunapack (Prinzhorn): recycled containerboard/corrugated; Pulp misc. = RCF preparation</t>
        </is>
      </c>
    </row>
    <row r="43">
      <c r="A43" s="22" t="n">
        <v>44375536</v>
      </c>
      <c r="B43" s="23" t="inlineStr">
        <is>
          <t>Ghelfi Ondulati SpA</t>
        </is>
      </c>
      <c r="C43" s="23" t="inlineStr">
        <is>
          <t>Italy</t>
        </is>
      </c>
      <c r="D43" s="34" t="inlineStr">
        <is>
          <t>Paper/Board</t>
        </is>
      </c>
      <c r="E43" s="22" t="inlineStr">
        <is>
          <t>C17xP</t>
        </is>
      </c>
      <c r="F43" s="25" t="n">
        <v>294048.78599</v>
      </c>
      <c r="G43" s="36" t="inlineStr">
        <is>
          <t>ok</t>
        </is>
      </c>
      <c r="H43" s="27">
        <f>VLOOKUP(D43,Parameters!$A$5:$B$8,2,FALSE())</f>
        <v/>
      </c>
      <c r="I43" s="28">
        <f>IFERROR(IF(VLOOKUP(P43,Fossil_Shares!$J$3:$K$98,2,FALSE())="",VLOOKUP(E43,Parameters!$A$12:$B$14,2,FALSE()),VLOOKUP(P43,Fossil_Shares!$J$3:$K$98,2,FALSE())),VLOOKUP(E43,Parameters!$A$12:$B$14,2,FALSE()))</f>
        <v/>
      </c>
      <c r="J43" s="22">
        <f>IFERROR(IF(VLOOKUP(P43,Fossil_Shares!$J$3:$K$98,2,FALSE())="","EU27 fallback","Eurostat"),"EU27 fallback")</f>
        <v/>
      </c>
      <c r="K43" s="29">
        <f>VLOOKUP(D43,Parameters!$A$18:$B$21,2,FALSE())</f>
        <v/>
      </c>
      <c r="L43" s="30">
        <f>IF(N43="YES",F43*H43,0)</f>
        <v/>
      </c>
      <c r="M43" s="30">
        <f>L43*I43*K43</f>
        <v/>
      </c>
      <c r="N43" s="31" t="inlineStr">
        <is>
          <t>YES</t>
        </is>
      </c>
      <c r="O43" s="23" t="n"/>
      <c r="P43" s="32">
        <f>C43&amp;"|"&amp;E43</f>
        <v/>
      </c>
      <c r="Q43" s="33" t="inlineStr">
        <is>
          <t>Corrugated/containerboard converter; recycled fibre — no virgin pulp</t>
        </is>
      </c>
    </row>
    <row r="44" ht="24" customHeight="1" s="80">
      <c r="A44" s="22" t="n">
        <v>44375535</v>
      </c>
      <c r="B44" s="23" t="inlineStr">
        <is>
          <t>Cartiere Burgo SpA - Duino Mill</t>
        </is>
      </c>
      <c r="C44" s="23" t="inlineStr">
        <is>
          <t>Italy</t>
        </is>
      </c>
      <c r="D44" s="24" t="inlineStr">
        <is>
          <t>Integrated</t>
        </is>
      </c>
      <c r="E44" s="22" t="inlineStr">
        <is>
          <t>C17</t>
        </is>
      </c>
      <c r="F44" s="25" t="n">
        <v>475001.8850499999</v>
      </c>
      <c r="G44" s="36" t="inlineStr">
        <is>
          <t>ok</t>
        </is>
      </c>
      <c r="H44" s="27">
        <f>VLOOKUP(D44,Parameters!$A$5:$B$8,2,FALSE())</f>
        <v/>
      </c>
      <c r="I44" s="28">
        <f>IFERROR(IF(VLOOKUP(P44,Fossil_Shares!$J$3:$K$98,2,FALSE())="",VLOOKUP(E44,Parameters!$A$12:$B$14,2,FALSE()),VLOOKUP(P44,Fossil_Shares!$J$3:$K$98,2,FALSE())),VLOOKUP(E44,Parameters!$A$12:$B$14,2,FALSE()))</f>
        <v/>
      </c>
      <c r="J44" s="22">
        <f>IFERROR(IF(VLOOKUP(P44,Fossil_Shares!$J$3:$K$98,2,FALSE())="","EU27 fallback","Eurostat"),"EU27 fallback")</f>
        <v/>
      </c>
      <c r="K44" s="29">
        <f>VLOOKUP(D44,Parameters!$A$18:$B$21,2,FALSE())</f>
        <v/>
      </c>
      <c r="L44" s="30">
        <f>IF(N44="YES",F44*H44,0)</f>
        <v/>
      </c>
      <c r="M44" s="30">
        <f>L44*I44*K44</f>
        <v/>
      </c>
      <c r="N44" s="31" t="inlineStr">
        <is>
          <t>YES</t>
        </is>
      </c>
      <c r="O44" s="23" t="inlineStr">
        <is>
          <t>NEEDS_VERIFICATION</t>
        </is>
      </c>
      <c r="P44" s="32">
        <f>C44&amp;"|"&amp;E44</f>
        <v/>
      </c>
      <c r="Q44" s="33" t="inlineStr">
        <is>
          <t>Duino (Mondi-acquired): containerboard with historical mechanical pulp — verify post-2023 Mondi config</t>
        </is>
      </c>
    </row>
    <row r="45" ht="24" customHeight="1" s="80">
      <c r="A45" s="22" t="n">
        <v>44375534</v>
      </c>
      <c r="B45" s="23" t="inlineStr">
        <is>
          <t>Lucart Spa - Porcari</t>
        </is>
      </c>
      <c r="C45" s="23" t="inlineStr">
        <is>
          <t>Italy</t>
        </is>
      </c>
      <c r="D45" s="37" t="inlineStr">
        <is>
          <t>Tissue</t>
        </is>
      </c>
      <c r="E45" s="22" t="inlineStr">
        <is>
          <t>C17xP</t>
        </is>
      </c>
      <c r="F45" s="25" t="n">
        <v>980162.6200300002</v>
      </c>
      <c r="G45" s="26" t="inlineStr">
        <is>
          <t>PROXY</t>
        </is>
      </c>
      <c r="H45" s="27">
        <f>VLOOKUP(D45,Parameters!$A$5:$B$8,2,FALSE())</f>
        <v/>
      </c>
      <c r="I45" s="28">
        <f>IFERROR(IF(VLOOKUP(P45,Fossil_Shares!$J$3:$K$98,2,FALSE())="",VLOOKUP(E45,Parameters!$A$12:$B$14,2,FALSE()),VLOOKUP(P45,Fossil_Shares!$J$3:$K$98,2,FALSE())),VLOOKUP(E45,Parameters!$A$12:$B$14,2,FALSE()))</f>
        <v/>
      </c>
      <c r="J45" s="22">
        <f>IFERROR(IF(VLOOKUP(P45,Fossil_Shares!$J$3:$K$98,2,FALSE())="","EU27 fallback","Eurostat"),"EU27 fallback")</f>
        <v/>
      </c>
      <c r="K45" s="29">
        <f>VLOOKUP(D45,Parameters!$A$18:$B$21,2,FALSE())</f>
        <v/>
      </c>
      <c r="L45" s="30">
        <f>IF(N45="YES",F45*H45,0)</f>
        <v/>
      </c>
      <c r="M45" s="30">
        <f>L45*I45*K45</f>
        <v/>
      </c>
      <c r="N45" s="31" t="inlineStr">
        <is>
          <t>YES</t>
        </is>
      </c>
      <c r="O45" s="23" t="n"/>
      <c r="P45" s="32">
        <f>C45&amp;"|"&amp;E45</f>
        <v/>
      </c>
      <c r="Q45" s="33" t="inlineStr">
        <is>
          <t>Lucart Porcari: tissue machines (TM12 etc.) + MG flexible packaging paper (EUWID; Lucart)</t>
        </is>
      </c>
    </row>
    <row r="46">
      <c r="A46" s="22" t="n">
        <v>44375548</v>
      </c>
      <c r="B46" s="23" t="inlineStr">
        <is>
          <t>Smurfit Kappa Roermond Papier BV</t>
        </is>
      </c>
      <c r="C46" s="23" t="inlineStr">
        <is>
          <t>Netherlands</t>
        </is>
      </c>
      <c r="D46" s="34" t="inlineStr">
        <is>
          <t>Paper/Board</t>
        </is>
      </c>
      <c r="E46" s="22" t="inlineStr">
        <is>
          <t>C17xP</t>
        </is>
      </c>
      <c r="F46" s="25" t="n">
        <v>175142.36629</v>
      </c>
      <c r="G46" s="36" t="inlineStr">
        <is>
          <t>ok</t>
        </is>
      </c>
      <c r="H46" s="27">
        <f>VLOOKUP(D46,Parameters!$A$5:$B$8,2,FALSE())</f>
        <v/>
      </c>
      <c r="I46" s="28">
        <f>IFERROR(IF(VLOOKUP(P46,Fossil_Shares!$J$3:$K$98,2,FALSE())="",VLOOKUP(E46,Parameters!$A$12:$B$14,2,FALSE()),VLOOKUP(P46,Fossil_Shares!$J$3:$K$98,2,FALSE())),VLOOKUP(E46,Parameters!$A$12:$B$14,2,FALSE()))</f>
        <v/>
      </c>
      <c r="J46" s="22">
        <f>IFERROR(IF(VLOOKUP(P46,Fossil_Shares!$J$3:$K$98,2,FALSE())="","EU27 fallback","Eurostat"),"EU27 fallback")</f>
        <v/>
      </c>
      <c r="K46" s="29">
        <f>VLOOKUP(D46,Parameters!$A$18:$B$21,2,FALSE())</f>
        <v/>
      </c>
      <c r="L46" s="30">
        <f>IF(N46="YES",F46*H46,0)</f>
        <v/>
      </c>
      <c r="M46" s="30">
        <f>L46*I46*K46</f>
        <v/>
      </c>
      <c r="N46" s="31" t="inlineStr">
        <is>
          <t>YES</t>
        </is>
      </c>
      <c r="O46" s="23" t="n"/>
      <c r="P46" s="32">
        <f>C46&amp;"|"&amp;E46</f>
        <v/>
      </c>
      <c r="Q46" s="33" t="inlineStr">
        <is>
          <t>Roermond: recycled containerboard/testliner; no virgin pulp</t>
        </is>
      </c>
    </row>
    <row r="47">
      <c r="A47" s="22" t="n">
        <v>44375550</v>
      </c>
      <c r="B47" s="23" t="inlineStr">
        <is>
          <t>Norske Skog Skogn AS</t>
        </is>
      </c>
      <c r="C47" s="23" t="inlineStr">
        <is>
          <t>Norway</t>
        </is>
      </c>
      <c r="D47" s="34" t="inlineStr">
        <is>
          <t>Paper/Board</t>
        </is>
      </c>
      <c r="E47" s="22" t="inlineStr">
        <is>
          <t>C17xP</t>
        </is>
      </c>
      <c r="F47" s="25" t="n">
        <v>19790.000003</v>
      </c>
      <c r="G47" s="26" t="inlineStr">
        <is>
          <t>PROXY</t>
        </is>
      </c>
      <c r="H47" s="27">
        <f>VLOOKUP(D47,Parameters!$A$5:$B$8,2,FALSE())</f>
        <v/>
      </c>
      <c r="I47" s="28">
        <f>IFERROR(IF(VLOOKUP(P47,Fossil_Shares!$J$3:$K$98,2,FALSE())="",VLOOKUP(E47,Parameters!$A$12:$B$14,2,FALSE()),VLOOKUP(P47,Fossil_Shares!$J$3:$K$98,2,FALSE())),VLOOKUP(E47,Parameters!$A$12:$B$14,2,FALSE()))</f>
        <v/>
      </c>
      <c r="J47" s="22">
        <f>IFERROR(IF(VLOOKUP(P47,Fossil_Shares!$J$3:$K$98,2,FALSE())="","EU27 fallback","Eurostat"),"EU27 fallback")</f>
        <v/>
      </c>
      <c r="K47" s="29">
        <f>VLOOKUP(D47,Parameters!$A$18:$B$21,2,FALSE())</f>
        <v/>
      </c>
      <c r="L47" s="30">
        <f>IF(N47="YES",F47*H47,0)</f>
        <v/>
      </c>
      <c r="M47" s="30">
        <f>L47*I47*K47</f>
        <v/>
      </c>
      <c r="N47" s="31" t="inlineStr">
        <is>
          <t>YES</t>
        </is>
      </c>
      <c r="O47" s="23" t="n"/>
      <c r="P47" s="32">
        <f>C47&amp;"|"&amp;E47</f>
        <v/>
      </c>
      <c r="Q47" s="33" t="inlineStr">
        <is>
          <t>Skogn: newsprint (TMP/recovered fibre); no chemical pulp line despite tag</t>
        </is>
      </c>
    </row>
    <row r="48" ht="24" customHeight="1" s="80">
      <c r="A48" s="22" t="n">
        <v>44375551</v>
      </c>
      <c r="B48" s="23" t="inlineStr">
        <is>
          <t>Tofte Industrier AS</t>
        </is>
      </c>
      <c r="C48" s="23" t="inlineStr">
        <is>
          <t>Norway</t>
        </is>
      </c>
      <c r="D48" s="35" t="inlineStr">
        <is>
          <t>Pulp</t>
        </is>
      </c>
      <c r="E48" s="22" t="inlineStr">
        <is>
          <t>C1711</t>
        </is>
      </c>
      <c r="F48" s="25" t="n">
        <v>23999.99999899999</v>
      </c>
      <c r="G48" s="36" t="inlineStr">
        <is>
          <t>ok</t>
        </is>
      </c>
      <c r="H48" s="27">
        <f>VLOOKUP(D48,Parameters!$A$5:$B$8,2,FALSE())</f>
        <v/>
      </c>
      <c r="I48" s="28">
        <f>IFERROR(IF(VLOOKUP(P48,Fossil_Shares!$J$3:$K$98,2,FALSE())="",VLOOKUP(E48,Parameters!$A$12:$B$14,2,FALSE()),VLOOKUP(P48,Fossil_Shares!$J$3:$K$98,2,FALSE())),VLOOKUP(E48,Parameters!$A$12:$B$14,2,FALSE()))</f>
        <v/>
      </c>
      <c r="J48" s="22">
        <f>IFERROR(IF(VLOOKUP(P48,Fossil_Shares!$J$3:$K$98,2,FALSE())="","EU27 fallback","Eurostat"),"EU27 fallback")</f>
        <v/>
      </c>
      <c r="K48" s="29">
        <f>VLOOKUP(D48,Parameters!$A$18:$B$21,2,FALSE())</f>
        <v/>
      </c>
      <c r="L48" s="30">
        <f>IF(N48="YES",F48*H48,0)</f>
        <v/>
      </c>
      <c r="M48" s="30">
        <f>L48*I48*K48</f>
        <v/>
      </c>
      <c r="N48" s="31" t="inlineStr">
        <is>
          <t>YES</t>
        </is>
      </c>
      <c r="O48" s="23" t="inlineStr">
        <is>
          <t>NEEDS_VERIFICATION</t>
        </is>
      </c>
      <c r="P48" s="32">
        <f>C48&amp;"|"&amp;E48</f>
        <v/>
      </c>
      <c r="Q48" s="33" t="inlineStr">
        <is>
          <t>Former Södra Cell Tofte kraft market pulp (closed 2013); verify reference-year status</t>
        </is>
      </c>
    </row>
    <row r="49" ht="24" customHeight="1" s="80">
      <c r="A49" s="22" t="n">
        <v>44375546</v>
      </c>
      <c r="B49" s="23" t="inlineStr">
        <is>
          <t>Borregaard AS</t>
        </is>
      </c>
      <c r="C49" s="23" t="inlineStr">
        <is>
          <t>Norway</t>
        </is>
      </c>
      <c r="D49" s="35" t="inlineStr">
        <is>
          <t>Pulp</t>
        </is>
      </c>
      <c r="E49" s="22" t="inlineStr">
        <is>
          <t>C1711</t>
        </is>
      </c>
      <c r="F49" s="25" t="n">
        <v>148763.1111</v>
      </c>
      <c r="G49" s="26" t="inlineStr">
        <is>
          <t>PROXY</t>
        </is>
      </c>
      <c r="H49" s="27">
        <f>VLOOKUP(D49,Parameters!$A$5:$B$8,2,FALSE())</f>
        <v/>
      </c>
      <c r="I49" s="28">
        <f>IFERROR(IF(VLOOKUP(P49,Fossil_Shares!$J$3:$K$98,2,FALSE())="",VLOOKUP(E49,Parameters!$A$12:$B$14,2,FALSE()),VLOOKUP(P49,Fossil_Shares!$J$3:$K$98,2,FALSE())),VLOOKUP(E49,Parameters!$A$12:$B$14,2,FALSE()))</f>
        <v/>
      </c>
      <c r="J49" s="22">
        <f>IFERROR(IF(VLOOKUP(P49,Fossil_Shares!$J$3:$K$98,2,FALSE())="","EU27 fallback","Eurostat"),"EU27 fallback")</f>
        <v/>
      </c>
      <c r="K49" s="29">
        <f>VLOOKUP(D49,Parameters!$A$18:$B$21,2,FALSE())</f>
        <v/>
      </c>
      <c r="L49" s="30">
        <f>IF(N49="YES",F49*H49,0)</f>
        <v/>
      </c>
      <c r="M49" s="30">
        <f>L49*I49*K49</f>
        <v/>
      </c>
      <c r="N49" s="31" t="inlineStr">
        <is>
          <t>YES</t>
        </is>
      </c>
      <c r="O49" s="23" t="inlineStr">
        <is>
          <t>COUNTRY_CORRECTED</t>
        </is>
      </c>
      <c r="P49" s="32">
        <f>C49&amp;"|"&amp;E49</f>
        <v/>
      </c>
      <c r="Q49" s="33" t="inlineStr">
        <is>
          <t>COUNTRY CORRECTED to NOR (Sarpsborg, Norway). Biorefinery: specialty/dissolving cellulose + lignin + vanillin; no paper (Borregaard)</t>
        </is>
      </c>
    </row>
    <row r="50" ht="24" customHeight="1" s="80">
      <c r="A50" s="22" t="n">
        <v>44375552</v>
      </c>
      <c r="B50" s="23" t="inlineStr">
        <is>
          <t>Elopak AS</t>
        </is>
      </c>
      <c r="C50" s="23" t="inlineStr">
        <is>
          <t>Norway</t>
        </is>
      </c>
      <c r="D50" s="34" t="inlineStr">
        <is>
          <t>Paper/Board</t>
        </is>
      </c>
      <c r="E50" s="22" t="inlineStr">
        <is>
          <t>C17xP</t>
        </is>
      </c>
      <c r="F50" s="25" t="n"/>
      <c r="G50" s="36" t="inlineStr">
        <is>
          <t>ok</t>
        </is>
      </c>
      <c r="H50" s="27">
        <f>VLOOKUP(D50,Parameters!$A$5:$B$8,2,FALSE())</f>
        <v/>
      </c>
      <c r="I50" s="28">
        <f>IFERROR(IF(VLOOKUP(P50,Fossil_Shares!$J$3:$K$98,2,FALSE())="",VLOOKUP(E50,Parameters!$A$12:$B$14,2,FALSE()),VLOOKUP(P50,Fossil_Shares!$J$3:$K$98,2,FALSE())),VLOOKUP(E50,Parameters!$A$12:$B$14,2,FALSE()))</f>
        <v/>
      </c>
      <c r="J50" s="22">
        <f>IFERROR(IF(VLOOKUP(P50,Fossil_Shares!$J$3:$K$98,2,FALSE())="","EU27 fallback","Eurostat"),"EU27 fallback")</f>
        <v/>
      </c>
      <c r="K50" s="29">
        <f>VLOOKUP(D50,Parameters!$A$18:$B$21,2,FALSE())</f>
        <v/>
      </c>
      <c r="L50" s="30">
        <f>IF(N50="YES",F50*H50,0)</f>
        <v/>
      </c>
      <c r="M50" s="30">
        <f>L50*I50*K50</f>
        <v/>
      </c>
      <c r="N50" s="31" t="inlineStr">
        <is>
          <t>YES</t>
        </is>
      </c>
      <c r="O50" s="23" t="inlineStr">
        <is>
          <t>SOURCE_TYPE_ERROR</t>
        </is>
      </c>
      <c r="P50" s="32">
        <f>C50&amp;"|"&amp;E50</f>
        <v/>
      </c>
      <c r="Q50" s="33" t="inlineStr">
        <is>
          <t>MISLABELLED source_type: Elopak is a beverage carton converter, not a pulp producer — flag for removal</t>
        </is>
      </c>
    </row>
    <row r="51" ht="24" customHeight="1" s="80">
      <c r="A51" s="22" t="n">
        <v>44375634</v>
      </c>
      <c r="B51" s="23" t="inlineStr">
        <is>
          <t>Schumacher Packaging Myszkow Pulp Mill</t>
        </is>
      </c>
      <c r="C51" s="23" t="inlineStr">
        <is>
          <t>Poland</t>
        </is>
      </c>
      <c r="D51" s="34" t="inlineStr">
        <is>
          <t>Paper/Board</t>
        </is>
      </c>
      <c r="E51" s="22" t="inlineStr">
        <is>
          <t>C17xP</t>
        </is>
      </c>
      <c r="F51" s="25" t="n">
        <v>466221.18744</v>
      </c>
      <c r="G51" s="26" t="inlineStr">
        <is>
          <t>PROXY</t>
        </is>
      </c>
      <c r="H51" s="27">
        <f>VLOOKUP(D51,Parameters!$A$5:$B$8,2,FALSE())</f>
        <v/>
      </c>
      <c r="I51" s="28">
        <f>IFERROR(IF(VLOOKUP(P51,Fossil_Shares!$J$3:$K$98,2,FALSE())="",VLOOKUP(E51,Parameters!$A$12:$B$14,2,FALSE()),VLOOKUP(P51,Fossil_Shares!$J$3:$K$98,2,FALSE())),VLOOKUP(E51,Parameters!$A$12:$B$14,2,FALSE()))</f>
        <v/>
      </c>
      <c r="J51" s="22">
        <f>IFERROR(IF(VLOOKUP(P51,Fossil_Shares!$J$3:$K$98,2,FALSE())="","EU27 fallback","Eurostat"),"EU27 fallback")</f>
        <v/>
      </c>
      <c r="K51" s="29">
        <f>VLOOKUP(D51,Parameters!$A$18:$B$21,2,FALSE())</f>
        <v/>
      </c>
      <c r="L51" s="30">
        <f>IF(N51="YES",F51*H51,0)</f>
        <v/>
      </c>
      <c r="M51" s="30">
        <f>L51*I51*K51</f>
        <v/>
      </c>
      <c r="N51" s="31" t="inlineStr">
        <is>
          <t>YES</t>
        </is>
      </c>
      <c r="O51" s="23" t="n"/>
      <c r="P51" s="32">
        <f>C51&amp;"|"&amp;E51</f>
        <v/>
      </c>
      <c r="Q51" s="33" t="inlineStr">
        <is>
          <t>Schumacher: recycled containerboard/corrugated; mechanical tag = recovered-fibre prep</t>
        </is>
      </c>
    </row>
    <row r="52" ht="24" customHeight="1" s="80">
      <c r="A52" s="22" t="n">
        <v>44375633</v>
      </c>
      <c r="B52" s="23" t="inlineStr">
        <is>
          <t>Global Cellulose Fibers - Gdansk Modified Fiber Plant - International Paper</t>
        </is>
      </c>
      <c r="C52" s="23" t="inlineStr">
        <is>
          <t>Poland</t>
        </is>
      </c>
      <c r="D52" s="35" t="inlineStr">
        <is>
          <t>Pulp</t>
        </is>
      </c>
      <c r="E52" s="22" t="inlineStr">
        <is>
          <t>C1711</t>
        </is>
      </c>
      <c r="F52" s="25" t="n">
        <v>466221.18744</v>
      </c>
      <c r="G52" s="26" t="inlineStr">
        <is>
          <t>PROXY</t>
        </is>
      </c>
      <c r="H52" s="27">
        <f>VLOOKUP(D52,Parameters!$A$5:$B$8,2,FALSE())</f>
        <v/>
      </c>
      <c r="I52" s="28">
        <f>IFERROR(IF(VLOOKUP(P52,Fossil_Shares!$J$3:$K$98,2,FALSE())="",VLOOKUP(E52,Parameters!$A$12:$B$14,2,FALSE()),VLOOKUP(P52,Fossil_Shares!$J$3:$K$98,2,FALSE())),VLOOKUP(E52,Parameters!$A$12:$B$14,2,FALSE()))</f>
        <v/>
      </c>
      <c r="J52" s="22">
        <f>IFERROR(IF(VLOOKUP(P52,Fossil_Shares!$J$3:$K$98,2,FALSE())="","EU27 fallback","Eurostat"),"EU27 fallback")</f>
        <v/>
      </c>
      <c r="K52" s="29">
        <f>VLOOKUP(D52,Parameters!$A$18:$B$21,2,FALSE())</f>
        <v/>
      </c>
      <c r="L52" s="30">
        <f>IF(N52="YES",F52*H52,0)</f>
        <v/>
      </c>
      <c r="M52" s="30">
        <f>L52*I52*K52</f>
        <v/>
      </c>
      <c r="N52" s="31" t="inlineStr">
        <is>
          <t>YES</t>
        </is>
      </c>
      <c r="O52" s="23" t="n"/>
      <c r="P52" s="32">
        <f>C52&amp;"|"&amp;E52</f>
        <v/>
      </c>
      <c r="Q52" s="33" t="inlineStr">
        <is>
          <t>Modified/fluff cellulose fibre finishing plant (IP/GCF); pulp-side operation, no papermaking</t>
        </is>
      </c>
    </row>
    <row r="53" ht="24" customHeight="1" s="80">
      <c r="A53" s="22" t="n">
        <v>44375635</v>
      </c>
      <c r="B53" s="23" t="inlineStr">
        <is>
          <t>Mondi Świecie Pulp Mill</t>
        </is>
      </c>
      <c r="C53" s="23" t="inlineStr">
        <is>
          <t>Poland</t>
        </is>
      </c>
      <c r="D53" s="24" t="inlineStr">
        <is>
          <t>Integrated</t>
        </is>
      </c>
      <c r="E53" s="22" t="inlineStr">
        <is>
          <t>C17</t>
        </is>
      </c>
      <c r="F53" s="73" t="n">
        <v>466221.18744</v>
      </c>
      <c r="G53" s="26" t="inlineStr">
        <is>
          <t>PROXY</t>
        </is>
      </c>
      <c r="H53" s="27">
        <f>VLOOKUP(D53,Parameters!$A$5:$B$8,2,FALSE())</f>
        <v/>
      </c>
      <c r="I53" s="28">
        <f>IFERROR(IF(VLOOKUP(P53,Fossil_Shares!$J$3:$K$98,2,FALSE())="",VLOOKUP(E53,Parameters!$A$12:$B$14,2,FALSE()),VLOOKUP(P53,Fossil_Shares!$J$3:$K$98,2,FALSE())),VLOOKUP(E53,Parameters!$A$12:$B$14,2,FALSE()))</f>
        <v/>
      </c>
      <c r="J53" s="22">
        <f>IFERROR(IF(VLOOKUP(P53,Fossil_Shares!$J$3:$K$98,2,FALSE())="","EU27 fallback","Eurostat"),"EU27 fallback")</f>
        <v/>
      </c>
      <c r="K53" s="29">
        <f>VLOOKUP(D53,Parameters!$A$18:$B$21,2,FALSE())</f>
        <v/>
      </c>
      <c r="L53" s="30">
        <f>IF(N53="YES",F53*H53,0)</f>
        <v/>
      </c>
      <c r="M53" s="30">
        <f>L53*I53*K53</f>
        <v/>
      </c>
      <c r="N53" s="31" t="inlineStr">
        <is>
          <t>YES</t>
        </is>
      </c>
      <c r="O53" s="23" t="n"/>
      <c r="P53" s="32">
        <f>C53&amp;"|"&amp;E53</f>
        <v/>
      </c>
      <c r="Q53" s="33" t="inlineStr">
        <is>
          <t>Integrated kraft pulp + containerboard (chemical + mechanical/semi-chemical tags) (Mondi)</t>
        </is>
      </c>
    </row>
    <row r="54" ht="24" customHeight="1" s="80">
      <c r="A54" s="38" t="n">
        <v>44375538</v>
      </c>
      <c r="B54" s="39" t="inlineStr">
        <is>
          <t>Mondi Świecie SA</t>
        </is>
      </c>
      <c r="C54" s="39" t="inlineStr">
        <is>
          <t>Poland</t>
        </is>
      </c>
      <c r="D54" s="39" t="inlineStr">
        <is>
          <t>Integrated</t>
        </is>
      </c>
      <c r="E54" s="38" t="inlineStr">
        <is>
          <t>C17</t>
        </is>
      </c>
      <c r="F54" s="40" t="n">
        <v>603176.9969500001</v>
      </c>
      <c r="G54" s="26" t="inlineStr">
        <is>
          <t>PROXY</t>
        </is>
      </c>
      <c r="H54" s="27">
        <f>VLOOKUP(D54,Parameters!$A$5:$B$8,2,FALSE())</f>
        <v/>
      </c>
      <c r="I54" s="41">
        <f>IFERROR(IF(VLOOKUP(P54,Fossil_Shares!$J$3:$K$98,2,FALSE())="",VLOOKUP(E54,Parameters!$A$12:$B$14,2,FALSE()),VLOOKUP(P54,Fossil_Shares!$J$3:$K$98,2,FALSE())),VLOOKUP(E54,Parameters!$A$12:$B$14,2,FALSE()))</f>
        <v/>
      </c>
      <c r="J54" s="38">
        <f>IFERROR(IF(VLOOKUP(P54,Fossil_Shares!$J$3:$K$98,2,FALSE())="","EU27 fallback","Eurostat"),"EU27 fallback")</f>
        <v/>
      </c>
      <c r="K54" s="42">
        <f>VLOOKUP(D54,Parameters!$A$18:$B$21,2,FALSE())</f>
        <v/>
      </c>
      <c r="L54" s="43">
        <f>IF(N54="YES",F54*H54,0)</f>
        <v/>
      </c>
      <c r="M54" s="43">
        <f>L54*I54*K54</f>
        <v/>
      </c>
      <c r="N54" s="44" t="inlineStr">
        <is>
          <t>no</t>
        </is>
      </c>
      <c r="O54" s="39" t="inlineStr">
        <is>
          <t>DUPLICATE|COUNTRY_CORRECTED</t>
        </is>
      </c>
      <c r="P54" s="45">
        <f>C54&amp;"|"&amp;E54</f>
        <v/>
      </c>
      <c r="Q54" s="46" t="inlineStr">
        <is>
          <t>COUNTRY CORRECTED to POL (Świecie, Poland). Integrated kraft pulp + containerboard (Mondi) — duplicate of 44375635</t>
        </is>
      </c>
    </row>
    <row r="55">
      <c r="A55" s="22" t="n">
        <v>44375636</v>
      </c>
      <c r="B55" s="23" t="inlineStr">
        <is>
          <t>Leirosa Bleached Eucalyptus Pulp Mill</t>
        </is>
      </c>
      <c r="C55" s="23" t="inlineStr">
        <is>
          <t>Portugal</t>
        </is>
      </c>
      <c r="D55" s="35" t="inlineStr">
        <is>
          <t>Pulp</t>
        </is>
      </c>
      <c r="E55" s="22" t="inlineStr">
        <is>
          <t>C1711</t>
        </is>
      </c>
      <c r="F55" s="25" t="n">
        <v>102692.857146</v>
      </c>
      <c r="G55" s="36" t="inlineStr">
        <is>
          <t>ok</t>
        </is>
      </c>
      <c r="H55" s="27">
        <f>VLOOKUP(D55,Parameters!$A$5:$B$8,2,FALSE())</f>
        <v/>
      </c>
      <c r="I55" s="28">
        <f>IFERROR(IF(VLOOKUP(P55,Fossil_Shares!$J$3:$K$98,2,FALSE())="",VLOOKUP(E55,Parameters!$A$12:$B$14,2,FALSE()),VLOOKUP(P55,Fossil_Shares!$J$3:$K$98,2,FALSE())),VLOOKUP(E55,Parameters!$A$12:$B$14,2,FALSE()))</f>
        <v/>
      </c>
      <c r="J55" s="22">
        <f>IFERROR(IF(VLOOKUP(P55,Fossil_Shares!$J$3:$K$98,2,FALSE())="","EU27 fallback","Eurostat"),"EU27 fallback")</f>
        <v/>
      </c>
      <c r="K55" s="29">
        <f>VLOOKUP(D55,Parameters!$A$18:$B$21,2,FALSE())</f>
        <v/>
      </c>
      <c r="L55" s="30">
        <f>IF(N55="YES",F55*H55,0)</f>
        <v/>
      </c>
      <c r="M55" s="30">
        <f>L55*I55*K55</f>
        <v/>
      </c>
      <c r="N55" s="31" t="inlineStr">
        <is>
          <t>YES</t>
        </is>
      </c>
      <c r="O55" s="23" t="n"/>
      <c r="P55" s="32">
        <f>C55&amp;"|"&amp;E55</f>
        <v/>
      </c>
      <c r="Q55" s="33" t="inlineStr">
        <is>
          <t>Celbi Leirosa (Altri): bleached eucalyptus market pulp; no paper</t>
        </is>
      </c>
    </row>
    <row r="56">
      <c r="A56" s="22" t="n">
        <v>44375637</v>
      </c>
      <c r="B56" s="23" t="inlineStr">
        <is>
          <t>Celbi Caima Dissolving Pulp Mill</t>
        </is>
      </c>
      <c r="C56" s="23" t="inlineStr">
        <is>
          <t>Portugal</t>
        </is>
      </c>
      <c r="D56" s="35" t="inlineStr">
        <is>
          <t>Pulp</t>
        </is>
      </c>
      <c r="E56" s="22" t="inlineStr">
        <is>
          <t>C1711</t>
        </is>
      </c>
      <c r="F56" s="25" t="n">
        <v>107360.714286</v>
      </c>
      <c r="G56" s="36" t="inlineStr">
        <is>
          <t>ok</t>
        </is>
      </c>
      <c r="H56" s="27">
        <f>VLOOKUP(D56,Parameters!$A$5:$B$8,2,FALSE())</f>
        <v/>
      </c>
      <c r="I56" s="28">
        <f>IFERROR(IF(VLOOKUP(P56,Fossil_Shares!$J$3:$K$98,2,FALSE())="",VLOOKUP(E56,Parameters!$A$12:$B$14,2,FALSE()),VLOOKUP(P56,Fossil_Shares!$J$3:$K$98,2,FALSE())),VLOOKUP(E56,Parameters!$A$12:$B$14,2,FALSE()))</f>
        <v/>
      </c>
      <c r="J56" s="22">
        <f>IFERROR(IF(VLOOKUP(P56,Fossil_Shares!$J$3:$K$98,2,FALSE())="","EU27 fallback","Eurostat"),"EU27 fallback")</f>
        <v/>
      </c>
      <c r="K56" s="29">
        <f>VLOOKUP(D56,Parameters!$A$18:$B$21,2,FALSE())</f>
        <v/>
      </c>
      <c r="L56" s="30">
        <f>IF(N56="YES",F56*H56,0)</f>
        <v/>
      </c>
      <c r="M56" s="30">
        <f>L56*I56*K56</f>
        <v/>
      </c>
      <c r="N56" s="31" t="inlineStr">
        <is>
          <t>YES</t>
        </is>
      </c>
      <c r="O56" s="23" t="n"/>
      <c r="P56" s="32">
        <f>C56&amp;"|"&amp;E56</f>
        <v/>
      </c>
      <c r="Q56" s="33" t="inlineStr">
        <is>
          <t>Caima (Altri), Constância: dissolving acid-sulphite eucalyptus pulp; no paper</t>
        </is>
      </c>
    </row>
    <row r="57" ht="24" customHeight="1" s="80">
      <c r="A57" s="22" t="n">
        <v>44375638</v>
      </c>
      <c r="B57" s="23" t="inlineStr">
        <is>
          <t>The Navigator Company - Cacia Pulp Mill</t>
        </is>
      </c>
      <c r="C57" s="23" t="inlineStr">
        <is>
          <t>Portugal</t>
        </is>
      </c>
      <c r="D57" s="35" t="inlineStr">
        <is>
          <t>Pulp</t>
        </is>
      </c>
      <c r="E57" s="22" t="inlineStr">
        <is>
          <t>C1711</t>
        </is>
      </c>
      <c r="F57" s="25" t="n">
        <v>298742.85713</v>
      </c>
      <c r="G57" s="36" t="inlineStr">
        <is>
          <t>ok</t>
        </is>
      </c>
      <c r="H57" s="27">
        <f>VLOOKUP(D57,Parameters!$A$5:$B$8,2,FALSE())</f>
        <v/>
      </c>
      <c r="I57" s="28">
        <f>IFERROR(IF(VLOOKUP(P57,Fossil_Shares!$J$3:$K$98,2,FALSE())="",VLOOKUP(E57,Parameters!$A$12:$B$14,2,FALSE()),VLOOKUP(P57,Fossil_Shares!$J$3:$K$98,2,FALSE())),VLOOKUP(E57,Parameters!$A$12:$B$14,2,FALSE()))</f>
        <v/>
      </c>
      <c r="J57" s="22">
        <f>IFERROR(IF(VLOOKUP(P57,Fossil_Shares!$J$3:$K$98,2,FALSE())="","EU27 fallback","Eurostat"),"EU27 fallback")</f>
        <v/>
      </c>
      <c r="K57" s="29">
        <f>VLOOKUP(D57,Parameters!$A$18:$B$21,2,FALSE())</f>
        <v/>
      </c>
      <c r="L57" s="30">
        <f>IF(N57="YES",F57*H57,0)</f>
        <v/>
      </c>
      <c r="M57" s="30">
        <f>L57*I57*K57</f>
        <v/>
      </c>
      <c r="N57" s="31" t="inlineStr">
        <is>
          <t>YES</t>
        </is>
      </c>
      <c r="O57" s="23" t="n"/>
      <c r="P57" s="32">
        <f>C57&amp;"|"&amp;E57</f>
        <v/>
      </c>
      <c r="Q57" s="33" t="inlineStr">
        <is>
          <t>Cacia: bleached eucalyptus kraft market pulp + new moulded-fibre packaging annex (Navigator; EUWID)</t>
        </is>
      </c>
    </row>
    <row r="58">
      <c r="A58" s="22" t="n">
        <v>44375640</v>
      </c>
      <c r="B58" s="23" t="inlineStr">
        <is>
          <t>Fapajal - Fábrica de Papel do Tojal S.A. Pulp Mill</t>
        </is>
      </c>
      <c r="C58" s="23" t="inlineStr">
        <is>
          <t>Portugal</t>
        </is>
      </c>
      <c r="D58" s="34" t="inlineStr">
        <is>
          <t>Paper/Board</t>
        </is>
      </c>
      <c r="E58" s="22" t="inlineStr">
        <is>
          <t>C17xP</t>
        </is>
      </c>
      <c r="F58" s="25" t="n">
        <v>310879.2857299999</v>
      </c>
      <c r="G58" s="36" t="inlineStr">
        <is>
          <t>ok</t>
        </is>
      </c>
      <c r="H58" s="27">
        <f>VLOOKUP(D58,Parameters!$A$5:$B$8,2,FALSE())</f>
        <v/>
      </c>
      <c r="I58" s="28">
        <f>IFERROR(IF(VLOOKUP(P58,Fossil_Shares!$J$3:$K$98,2,FALSE())="",VLOOKUP(E58,Parameters!$A$12:$B$14,2,FALSE()),VLOOKUP(P58,Fossil_Shares!$J$3:$K$98,2,FALSE())),VLOOKUP(E58,Parameters!$A$12:$B$14,2,FALSE()))</f>
        <v/>
      </c>
      <c r="J58" s="22">
        <f>IFERROR(IF(VLOOKUP(P58,Fossil_Shares!$J$3:$K$98,2,FALSE())="","EU27 fallback","Eurostat"),"EU27 fallback")</f>
        <v/>
      </c>
      <c r="K58" s="29">
        <f>VLOOKUP(D58,Parameters!$A$18:$B$21,2,FALSE())</f>
        <v/>
      </c>
      <c r="L58" s="30">
        <f>IF(N58="YES",F58*H58,0)</f>
        <v/>
      </c>
      <c r="M58" s="30">
        <f>L58*I58*K58</f>
        <v/>
      </c>
      <c r="N58" s="31" t="inlineStr">
        <is>
          <t>YES</t>
        </is>
      </c>
      <c r="O58" s="23" t="n"/>
      <c r="P58" s="32">
        <f>C58&amp;"|"&amp;E58</f>
        <v/>
      </c>
      <c r="Q58" s="33" t="inlineStr">
        <is>
          <t>Paper mill with semi-chemical fibre prep; primarily paper production</t>
        </is>
      </c>
    </row>
    <row r="59" ht="24" customHeight="1" s="80">
      <c r="A59" s="22" t="n">
        <v>44375641</v>
      </c>
      <c r="B59" s="23" t="inlineStr">
        <is>
          <t>The Navigator Company - Setúbal Mill</t>
        </is>
      </c>
      <c r="C59" s="23" t="inlineStr">
        <is>
          <t>Portugal</t>
        </is>
      </c>
      <c r="D59" s="24" t="inlineStr">
        <is>
          <t>Integrated</t>
        </is>
      </c>
      <c r="E59" s="22" t="inlineStr">
        <is>
          <t>C17</t>
        </is>
      </c>
      <c r="F59" s="25" t="n">
        <v>513464.28571</v>
      </c>
      <c r="G59" s="36" t="inlineStr">
        <is>
          <t>ok</t>
        </is>
      </c>
      <c r="H59" s="27">
        <f>VLOOKUP(D59,Parameters!$A$5:$B$8,2,FALSE())</f>
        <v/>
      </c>
      <c r="I59" s="28">
        <f>IFERROR(IF(VLOOKUP(P59,Fossil_Shares!$J$3:$K$98,2,FALSE())="",VLOOKUP(E59,Parameters!$A$12:$B$14,2,FALSE()),VLOOKUP(P59,Fossil_Shares!$J$3:$K$98,2,FALSE())),VLOOKUP(E59,Parameters!$A$12:$B$14,2,FALSE()))</f>
        <v/>
      </c>
      <c r="J59" s="22">
        <f>IFERROR(IF(VLOOKUP(P59,Fossil_Shares!$J$3:$K$98,2,FALSE())="","EU27 fallback","Eurostat"),"EU27 fallback")</f>
        <v/>
      </c>
      <c r="K59" s="29">
        <f>VLOOKUP(D59,Parameters!$A$18:$B$21,2,FALSE())</f>
        <v/>
      </c>
      <c r="L59" s="30">
        <f>IF(N59="YES",F59*H59,0)</f>
        <v/>
      </c>
      <c r="M59" s="30">
        <f>L59*I59*K59</f>
        <v/>
      </c>
      <c r="N59" s="31" t="inlineStr">
        <is>
          <t>YES</t>
        </is>
      </c>
      <c r="O59" s="23" t="n"/>
      <c r="P59" s="32">
        <f>C59&amp;"|"&amp;E59</f>
        <v/>
      </c>
      <c r="Q59" s="33" t="inlineStr">
        <is>
          <t>Setúbal: integrated pulp + UWF paper + tissue complex with recovery boiler (Navigator; EIB)</t>
        </is>
      </c>
    </row>
    <row r="60" ht="24" customHeight="1" s="80">
      <c r="A60" s="22" t="n">
        <v>44375639</v>
      </c>
      <c r="B60" s="23" t="inlineStr">
        <is>
          <t>Figueira da Foz BEKP Pulp and Paper Mill</t>
        </is>
      </c>
      <c r="C60" s="23" t="inlineStr">
        <is>
          <t>Portugal</t>
        </is>
      </c>
      <c r="D60" s="24" t="inlineStr">
        <is>
          <t>Integrated</t>
        </is>
      </c>
      <c r="E60" s="22" t="inlineStr">
        <is>
          <t>C17</t>
        </is>
      </c>
      <c r="F60" s="25" t="n">
        <v>532135.7143199999</v>
      </c>
      <c r="G60" s="36" t="inlineStr">
        <is>
          <t>ok</t>
        </is>
      </c>
      <c r="H60" s="27">
        <f>VLOOKUP(D60,Parameters!$A$5:$B$8,2,FALSE())</f>
        <v/>
      </c>
      <c r="I60" s="28">
        <f>IFERROR(IF(VLOOKUP(P60,Fossil_Shares!$J$3:$K$98,2,FALSE())="",VLOOKUP(E60,Parameters!$A$12:$B$14,2,FALSE()),VLOOKUP(P60,Fossil_Shares!$J$3:$K$98,2,FALSE())),VLOOKUP(E60,Parameters!$A$12:$B$14,2,FALSE()))</f>
        <v/>
      </c>
      <c r="J60" s="22">
        <f>IFERROR(IF(VLOOKUP(P60,Fossil_Shares!$J$3:$K$98,2,FALSE())="","EU27 fallback","Eurostat"),"EU27 fallback")</f>
        <v/>
      </c>
      <c r="K60" s="29">
        <f>VLOOKUP(D60,Parameters!$A$18:$B$21,2,FALSE())</f>
        <v/>
      </c>
      <c r="L60" s="30">
        <f>IF(N60="YES",F60*H60,0)</f>
        <v/>
      </c>
      <c r="M60" s="30">
        <f>L60*I60*K60</f>
        <v/>
      </c>
      <c r="N60" s="31" t="inlineStr">
        <is>
          <t>YES</t>
        </is>
      </c>
      <c r="O60" s="23" t="n"/>
      <c r="P60" s="32">
        <f>C60&amp;"|"&amp;E60</f>
        <v/>
      </c>
      <c r="Q60" s="33" t="inlineStr">
        <is>
          <t>Navigator Figueira da Foz: integrated bleached eucalyptus kraft pulp + UWF paper (Navigator; EIB)</t>
        </is>
      </c>
    </row>
    <row r="61" ht="24" customHeight="1" s="80">
      <c r="A61" s="22" t="n">
        <v>44375556</v>
      </c>
      <c r="B61" s="23" t="inlineStr">
        <is>
          <t>Other Navigator mills</t>
        </is>
      </c>
      <c r="C61" s="23" t="inlineStr">
        <is>
          <t>Portugal</t>
        </is>
      </c>
      <c r="D61" s="24" t="inlineStr">
        <is>
          <t>Integrated</t>
        </is>
      </c>
      <c r="E61" s="22" t="inlineStr">
        <is>
          <t>C17</t>
        </is>
      </c>
      <c r="F61" s="25" t="n"/>
      <c r="G61" s="36" t="inlineStr">
        <is>
          <t>ok</t>
        </is>
      </c>
      <c r="H61" s="27">
        <f>VLOOKUP(D61,Parameters!$A$5:$B$8,2,FALSE())</f>
        <v/>
      </c>
      <c r="I61" s="28">
        <f>IFERROR(IF(VLOOKUP(P61,Fossil_Shares!$J$3:$K$98,2,FALSE())="",VLOOKUP(E61,Parameters!$A$12:$B$14,2,FALSE()),VLOOKUP(P61,Fossil_Shares!$J$3:$K$98,2,FALSE())),VLOOKUP(E61,Parameters!$A$12:$B$14,2,FALSE()))</f>
        <v/>
      </c>
      <c r="J61" s="22">
        <f>IFERROR(IF(VLOOKUP(P61,Fossil_Shares!$J$3:$K$98,2,FALSE())="","EU27 fallback","Eurostat"),"EU27 fallback")</f>
        <v/>
      </c>
      <c r="K61" s="29">
        <f>VLOOKUP(D61,Parameters!$A$18:$B$21,2,FALSE())</f>
        <v/>
      </c>
      <c r="L61" s="30">
        <f>IF(N61="YES",F61*H61,0)</f>
        <v/>
      </c>
      <c r="M61" s="30">
        <f>L61*I61*K61</f>
        <v/>
      </c>
      <c r="N61" s="31" t="inlineStr">
        <is>
          <t>YES</t>
        </is>
      </c>
      <c r="O61" s="23" t="inlineStr">
        <is>
          <t>COUNTRY_CORRECTED</t>
        </is>
      </c>
      <c r="P61" s="32">
        <f>C61&amp;"|"&amp;E61</f>
        <v/>
      </c>
      <c r="Q61" s="33" t="inlineStr">
        <is>
          <t>COUNTRY CORRECTED to PRT. Aggregate/placeholder row for Navigator Portugal; Navigator is integrated pulp+paper+tissue</t>
        </is>
      </c>
    </row>
    <row r="62" ht="24" customHeight="1" s="80">
      <c r="A62" s="22" t="n">
        <v>44375554</v>
      </c>
      <c r="B62" s="23" t="inlineStr">
        <is>
          <t>CELBI - Celulose Beira Industrial SA</t>
        </is>
      </c>
      <c r="C62" s="23" t="inlineStr">
        <is>
          <t>Portugal</t>
        </is>
      </c>
      <c r="D62" s="35" t="inlineStr">
        <is>
          <t>Pulp</t>
        </is>
      </c>
      <c r="E62" s="22" t="inlineStr">
        <is>
          <t>C1711</t>
        </is>
      </c>
      <c r="F62" s="25" t="n"/>
      <c r="G62" s="36" t="inlineStr">
        <is>
          <t>ok</t>
        </is>
      </c>
      <c r="H62" s="27">
        <f>VLOOKUP(D62,Parameters!$A$5:$B$8,2,FALSE())</f>
        <v/>
      </c>
      <c r="I62" s="28">
        <f>IFERROR(IF(VLOOKUP(P62,Fossil_Shares!$J$3:$K$98,2,FALSE())="",VLOOKUP(E62,Parameters!$A$12:$B$14,2,FALSE()),VLOOKUP(P62,Fossil_Shares!$J$3:$K$98,2,FALSE())),VLOOKUP(E62,Parameters!$A$12:$B$14,2,FALSE()))</f>
        <v/>
      </c>
      <c r="J62" s="22">
        <f>IFERROR(IF(VLOOKUP(P62,Fossil_Shares!$J$3:$K$98,2,FALSE())="","EU27 fallback","Eurostat"),"EU27 fallback")</f>
        <v/>
      </c>
      <c r="K62" s="29">
        <f>VLOOKUP(D62,Parameters!$A$18:$B$21,2,FALSE())</f>
        <v/>
      </c>
      <c r="L62" s="30">
        <f>IF(N62="YES",F62*H62,0)</f>
        <v/>
      </c>
      <c r="M62" s="30">
        <f>L62*I62*K62</f>
        <v/>
      </c>
      <c r="N62" s="31" t="inlineStr">
        <is>
          <t>YES</t>
        </is>
      </c>
      <c r="O62" s="23" t="inlineStr">
        <is>
          <t>COUNTRY_CORRECTED</t>
        </is>
      </c>
      <c r="P62" s="32">
        <f>C62&amp;"|"&amp;E62</f>
        <v/>
      </c>
      <c r="Q62" s="33" t="inlineStr">
        <is>
          <t>COUNTRY CORRECTED to PRT (Figueira da Foz/Leirosa). Altri/Celbi bleached eucalyptus market pulp — relates to 44375636</t>
        </is>
      </c>
    </row>
    <row r="63" ht="24" customHeight="1" s="80">
      <c r="A63" s="38" t="n">
        <v>44375555</v>
      </c>
      <c r="B63" s="39" t="inlineStr">
        <is>
          <t>Fapajal SA</t>
        </is>
      </c>
      <c r="C63" s="39" t="inlineStr">
        <is>
          <t>Portugal</t>
        </is>
      </c>
      <c r="D63" s="39" t="inlineStr">
        <is>
          <t>Paper/Board</t>
        </is>
      </c>
      <c r="E63" s="38" t="inlineStr">
        <is>
          <t>C17xP</t>
        </is>
      </c>
      <c r="F63" s="40" t="n"/>
      <c r="G63" s="36" t="inlineStr">
        <is>
          <t>ok</t>
        </is>
      </c>
      <c r="H63" s="27">
        <f>VLOOKUP(D63,Parameters!$A$5:$B$8,2,FALSE())</f>
        <v/>
      </c>
      <c r="I63" s="41">
        <f>IFERROR(IF(VLOOKUP(P63,Fossil_Shares!$J$3:$K$98,2,FALSE())="",VLOOKUP(E63,Parameters!$A$12:$B$14,2,FALSE()),VLOOKUP(P63,Fossil_Shares!$J$3:$K$98,2,FALSE())),VLOOKUP(E63,Parameters!$A$12:$B$14,2,FALSE()))</f>
        <v/>
      </c>
      <c r="J63" s="38">
        <f>IFERROR(IF(VLOOKUP(P63,Fossil_Shares!$J$3:$K$98,2,FALSE())="","EU27 fallback","Eurostat"),"EU27 fallback")</f>
        <v/>
      </c>
      <c r="K63" s="42">
        <f>VLOOKUP(D63,Parameters!$A$18:$B$21,2,FALSE())</f>
        <v/>
      </c>
      <c r="L63" s="43">
        <f>IF(N63="YES",F63*H63,0)</f>
        <v/>
      </c>
      <c r="M63" s="43">
        <f>L63*I63*K63</f>
        <v/>
      </c>
      <c r="N63" s="44" t="inlineStr">
        <is>
          <t>no</t>
        </is>
      </c>
      <c r="O63" s="39" t="inlineStr">
        <is>
          <t>DUPLICATE|COUNTRY_CORRECTED</t>
        </is>
      </c>
      <c r="P63" s="45">
        <f>C63&amp;"|"&amp;E63</f>
        <v/>
      </c>
      <c r="Q63" s="46" t="inlineStr">
        <is>
          <t>COUNTRY CORRECTED to PRT (Tojal). Paper mill (semi-chemical fibre prep) — duplicate of 44375640</t>
        </is>
      </c>
    </row>
    <row r="64" ht="24" customHeight="1" s="80">
      <c r="A64" s="22" t="n">
        <v>44375649</v>
      </c>
      <c r="B64" s="23" t="inlineStr">
        <is>
          <t>Mondi SCP Pulp Mill</t>
        </is>
      </c>
      <c r="C64" s="23" t="inlineStr">
        <is>
          <t>Slovakia</t>
        </is>
      </c>
      <c r="D64" s="24" t="inlineStr">
        <is>
          <t>Integrated</t>
        </is>
      </c>
      <c r="E64" s="22" t="inlineStr">
        <is>
          <t>C17</t>
        </is>
      </c>
      <c r="F64" s="25" t="n">
        <v>93244.23748800001</v>
      </c>
      <c r="G64" s="36" t="inlineStr">
        <is>
          <t>ok</t>
        </is>
      </c>
      <c r="H64" s="27">
        <f>VLOOKUP(D64,Parameters!$A$5:$B$8,2,FALSE())</f>
        <v/>
      </c>
      <c r="I64" s="28">
        <f>IFERROR(IF(VLOOKUP(P64,Fossil_Shares!$J$3:$K$98,2,FALSE())="",VLOOKUP(E64,Parameters!$A$12:$B$14,2,FALSE()),VLOOKUP(P64,Fossil_Shares!$J$3:$K$98,2,FALSE())),VLOOKUP(E64,Parameters!$A$12:$B$14,2,FALSE()))</f>
        <v/>
      </c>
      <c r="J64" s="22">
        <f>IFERROR(IF(VLOOKUP(P64,Fossil_Shares!$J$3:$K$98,2,FALSE())="","EU27 fallback","Eurostat"),"EU27 fallback")</f>
        <v/>
      </c>
      <c r="K64" s="29">
        <f>VLOOKUP(D64,Parameters!$A$18:$B$21,2,FALSE())</f>
        <v/>
      </c>
      <c r="L64" s="30">
        <f>IF(N64="YES",F64*H64,0)</f>
        <v/>
      </c>
      <c r="M64" s="30">
        <f>L64*I64*K64</f>
        <v/>
      </c>
      <c r="N64" s="31" t="inlineStr">
        <is>
          <t>YES</t>
        </is>
      </c>
      <c r="O64" s="23" t="n"/>
      <c r="P64" s="32">
        <f>C64&amp;"|"&amp;E64</f>
        <v/>
      </c>
      <c r="Q64" s="33" t="inlineStr">
        <is>
          <t>Ružomberok: Mondi's largest integrated pulp+paper mill in Slovakia (UWF + kraft pulp) (Mondi)</t>
        </is>
      </c>
    </row>
    <row r="65" ht="24" customHeight="1" s="80">
      <c r="A65" s="22" t="n">
        <v>44375648</v>
      </c>
      <c r="B65" s="23" t="inlineStr">
        <is>
          <t>Bukocel a.s. Pulpmill - Bukóza Holding Pulp Mill</t>
        </is>
      </c>
      <c r="C65" s="23" t="inlineStr">
        <is>
          <t>Slovakia</t>
        </is>
      </c>
      <c r="D65" s="35" t="inlineStr">
        <is>
          <t>Pulp</t>
        </is>
      </c>
      <c r="E65" s="22" t="inlineStr">
        <is>
          <t>C1711</t>
        </is>
      </c>
      <c r="F65" s="25" t="n">
        <v>139866.35621</v>
      </c>
      <c r="G65" s="36" t="inlineStr">
        <is>
          <t>ok</t>
        </is>
      </c>
      <c r="H65" s="27">
        <f>VLOOKUP(D65,Parameters!$A$5:$B$8,2,FALSE())</f>
        <v/>
      </c>
      <c r="I65" s="28">
        <f>IFERROR(IF(VLOOKUP(P65,Fossil_Shares!$J$3:$K$98,2,FALSE())="",VLOOKUP(E65,Parameters!$A$12:$B$14,2,FALSE()),VLOOKUP(P65,Fossil_Shares!$J$3:$K$98,2,FALSE())),VLOOKUP(E65,Parameters!$A$12:$B$14,2,FALSE()))</f>
        <v/>
      </c>
      <c r="J65" s="22">
        <f>IFERROR(IF(VLOOKUP(P65,Fossil_Shares!$J$3:$K$98,2,FALSE())="","EU27 fallback","Eurostat"),"EU27 fallback")</f>
        <v/>
      </c>
      <c r="K65" s="29">
        <f>VLOOKUP(D65,Parameters!$A$18:$B$21,2,FALSE())</f>
        <v/>
      </c>
      <c r="L65" s="30">
        <f>IF(N65="YES",F65*H65,0)</f>
        <v/>
      </c>
      <c r="M65" s="30">
        <f>L65*I65*K65</f>
        <v/>
      </c>
      <c r="N65" s="31" t="inlineStr">
        <is>
          <t>YES</t>
        </is>
      </c>
      <c r="O65" s="23" t="inlineStr">
        <is>
          <t>NEEDS_VERIFICATION</t>
        </is>
      </c>
      <c r="P65" s="32">
        <f>C65&amp;"|"&amp;E65</f>
        <v/>
      </c>
      <c r="Q65" s="33" t="inlineStr">
        <is>
          <t>Bukocel (Hencovce): kraft market pulp; Bukóza group has separate paper ops — verify integration</t>
        </is>
      </c>
    </row>
    <row r="66" ht="24" customHeight="1" s="80">
      <c r="A66" s="22" t="n">
        <v>44375650</v>
      </c>
      <c r="B66" s="23" t="inlineStr">
        <is>
          <t>VIPAP VIDEM KRŠKO d.d. Pulp Mill</t>
        </is>
      </c>
      <c r="C66" s="23" t="inlineStr">
        <is>
          <t>Slovenia</t>
        </is>
      </c>
      <c r="D66" s="24" t="inlineStr">
        <is>
          <t>Integrated</t>
        </is>
      </c>
      <c r="E66" s="22" t="inlineStr">
        <is>
          <t>C17</t>
        </is>
      </c>
      <c r="F66" s="25" t="n">
        <v>46622.11874400001</v>
      </c>
      <c r="G66" s="36" t="inlineStr">
        <is>
          <t>ok</t>
        </is>
      </c>
      <c r="H66" s="27">
        <f>VLOOKUP(D66,Parameters!$A$5:$B$8,2,FALSE())</f>
        <v/>
      </c>
      <c r="I66" s="28">
        <f>IFERROR(IF(VLOOKUP(P66,Fossil_Shares!$J$3:$K$98,2,FALSE())="",VLOOKUP(E66,Parameters!$A$12:$B$14,2,FALSE()),VLOOKUP(P66,Fossil_Shares!$J$3:$K$98,2,FALSE())),VLOOKUP(E66,Parameters!$A$12:$B$14,2,FALSE()))</f>
        <v/>
      </c>
      <c r="J66" s="22">
        <f>IFERROR(IF(VLOOKUP(P66,Fossil_Shares!$J$3:$K$98,2,FALSE())="","EU27 fallback","Eurostat"),"EU27 fallback")</f>
        <v/>
      </c>
      <c r="K66" s="29">
        <f>VLOOKUP(D66,Parameters!$A$18:$B$21,2,FALSE())</f>
        <v/>
      </c>
      <c r="L66" s="30">
        <f>IF(N66="YES",F66*H66,0)</f>
        <v/>
      </c>
      <c r="M66" s="30">
        <f>L66*I66*K66</f>
        <v/>
      </c>
      <c r="N66" s="31" t="inlineStr">
        <is>
          <t>YES</t>
        </is>
      </c>
      <c r="O66" s="23" t="inlineStr">
        <is>
          <t>NEEDS_VERIFICATION</t>
        </is>
      </c>
      <c r="P66" s="32">
        <f>C66&amp;"|"&amp;E66</f>
        <v/>
      </c>
      <c r="Q66" s="33" t="inlineStr">
        <is>
          <t>Krško: newsprint/graphic paper with on-site mechanical/semi-chemical pulp + RCF — verify current ops</t>
        </is>
      </c>
    </row>
    <row r="67">
      <c r="A67" s="22" t="n">
        <v>44375518</v>
      </c>
      <c r="B67" s="23" t="inlineStr">
        <is>
          <t>Grupo Empresarial ENCE S.A. División de Celulosa - Pulp Mill Pontevedra</t>
        </is>
      </c>
      <c r="C67" s="23" t="inlineStr">
        <is>
          <t>Spain</t>
        </is>
      </c>
      <c r="D67" s="35" t="inlineStr">
        <is>
          <t>Pulp</t>
        </is>
      </c>
      <c r="E67" s="22" t="inlineStr">
        <is>
          <t>C1711</t>
        </is>
      </c>
      <c r="F67" s="25" t="n">
        <v>271688.33489</v>
      </c>
      <c r="G67" s="36" t="inlineStr">
        <is>
          <t>ok</t>
        </is>
      </c>
      <c r="H67" s="27">
        <f>VLOOKUP(D67,Parameters!$A$5:$B$8,2,FALSE())</f>
        <v/>
      </c>
      <c r="I67" s="28">
        <f>IFERROR(IF(VLOOKUP(P67,Fossil_Shares!$J$3:$K$98,2,FALSE())="",VLOOKUP(E67,Parameters!$A$12:$B$14,2,FALSE()),VLOOKUP(P67,Fossil_Shares!$J$3:$K$98,2,FALSE())),VLOOKUP(E67,Parameters!$A$12:$B$14,2,FALSE()))</f>
        <v/>
      </c>
      <c r="J67" s="22">
        <f>IFERROR(IF(VLOOKUP(P67,Fossil_Shares!$J$3:$K$98,2,FALSE())="","EU27 fallback","Eurostat"),"EU27 fallback")</f>
        <v/>
      </c>
      <c r="K67" s="29">
        <f>VLOOKUP(D67,Parameters!$A$18:$B$21,2,FALSE())</f>
        <v/>
      </c>
      <c r="L67" s="30">
        <f>IF(N67="YES",F67*H67,0)</f>
        <v/>
      </c>
      <c r="M67" s="30">
        <f>L67*I67*K67</f>
        <v/>
      </c>
      <c r="N67" s="31" t="inlineStr">
        <is>
          <t>YES</t>
        </is>
      </c>
      <c r="O67" s="23" t="n"/>
      <c r="P67" s="32">
        <f>C67&amp;"|"&amp;E67</f>
        <v/>
      </c>
      <c r="Q67" s="33" t="inlineStr">
        <is>
          <t>ENCE eucalyptus market pulp mill; no papermaking (ENCE company)</t>
        </is>
      </c>
    </row>
    <row r="68">
      <c r="A68" s="22" t="n">
        <v>44375519</v>
      </c>
      <c r="B68" s="23" t="inlineStr">
        <is>
          <t>Grupo Empresarial ENCE S.A. División de Celulosa - Pulp Mill Navia</t>
        </is>
      </c>
      <c r="C68" s="23" t="inlineStr">
        <is>
          <t>Spain</t>
        </is>
      </c>
      <c r="D68" s="35" t="inlineStr">
        <is>
          <t>Pulp</t>
        </is>
      </c>
      <c r="E68" s="22" t="inlineStr">
        <is>
          <t>C1711</t>
        </is>
      </c>
      <c r="F68" s="25" t="n">
        <v>361371.86293</v>
      </c>
      <c r="G68" s="36" t="inlineStr">
        <is>
          <t>ok</t>
        </is>
      </c>
      <c r="H68" s="27">
        <f>VLOOKUP(D68,Parameters!$A$5:$B$8,2,FALSE())</f>
        <v/>
      </c>
      <c r="I68" s="28">
        <f>IFERROR(IF(VLOOKUP(P68,Fossil_Shares!$J$3:$K$98,2,FALSE())="",VLOOKUP(E68,Parameters!$A$12:$B$14,2,FALSE()),VLOOKUP(P68,Fossil_Shares!$J$3:$K$98,2,FALSE())),VLOOKUP(E68,Parameters!$A$12:$B$14,2,FALSE()))</f>
        <v/>
      </c>
      <c r="J68" s="22">
        <f>IFERROR(IF(VLOOKUP(P68,Fossil_Shares!$J$3:$K$98,2,FALSE())="","EU27 fallback","Eurostat"),"EU27 fallback")</f>
        <v/>
      </c>
      <c r="K68" s="29">
        <f>VLOOKUP(D68,Parameters!$A$18:$B$21,2,FALSE())</f>
        <v/>
      </c>
      <c r="L68" s="30">
        <f>IF(N68="YES",F68*H68,0)</f>
        <v/>
      </c>
      <c r="M68" s="30">
        <f>L68*I68*K68</f>
        <v/>
      </c>
      <c r="N68" s="31" t="inlineStr">
        <is>
          <t>YES</t>
        </is>
      </c>
      <c r="O68" s="23" t="n"/>
      <c r="P68" s="32">
        <f>C68&amp;"|"&amp;E68</f>
        <v/>
      </c>
      <c r="Q68" s="33" t="inlineStr">
        <is>
          <t>ENCE eucalyptus market pulp mill; no papermaking (ENCE company)</t>
        </is>
      </c>
    </row>
    <row r="69" ht="24" customHeight="1" s="80">
      <c r="A69" s="22" t="n">
        <v>44375525</v>
      </c>
      <c r="B69" s="23" t="inlineStr">
        <is>
          <t>Smurfit Kappa Nervión Pulp Mill</t>
        </is>
      </c>
      <c r="C69" s="23" t="inlineStr">
        <is>
          <t>Spain</t>
        </is>
      </c>
      <c r="D69" s="24" t="inlineStr">
        <is>
          <t>Integrated</t>
        </is>
      </c>
      <c r="E69" s="22" t="inlineStr">
        <is>
          <t>C17</t>
        </is>
      </c>
      <c r="F69" s="25" t="n">
        <v>485789.47367</v>
      </c>
      <c r="G69" s="26" t="inlineStr">
        <is>
          <t>PROXY</t>
        </is>
      </c>
      <c r="H69" s="27">
        <f>VLOOKUP(D69,Parameters!$A$5:$B$8,2,FALSE())</f>
        <v/>
      </c>
      <c r="I69" s="28">
        <f>IFERROR(IF(VLOOKUP(P69,Fossil_Shares!$J$3:$K$98,2,FALSE())="",VLOOKUP(E69,Parameters!$A$12:$B$14,2,FALSE()),VLOOKUP(P69,Fossil_Shares!$J$3:$K$98,2,FALSE())),VLOOKUP(E69,Parameters!$A$12:$B$14,2,FALSE()))</f>
        <v/>
      </c>
      <c r="J69" s="22">
        <f>IFERROR(IF(VLOOKUP(P69,Fossil_Shares!$J$3:$K$98,2,FALSE())="","EU27 fallback","Eurostat"),"EU27 fallback")</f>
        <v/>
      </c>
      <c r="K69" s="29">
        <f>VLOOKUP(D69,Parameters!$A$18:$B$21,2,FALSE())</f>
        <v/>
      </c>
      <c r="L69" s="30">
        <f>IF(N69="YES",F69*H69,0)</f>
        <v/>
      </c>
      <c r="M69" s="30">
        <f>L69*I69*K69</f>
        <v/>
      </c>
      <c r="N69" s="31" t="inlineStr">
        <is>
          <t>YES</t>
        </is>
      </c>
      <c r="O69" s="23" t="inlineStr">
        <is>
          <t>COUNTRY_CORRECTED</t>
        </is>
      </c>
      <c r="P69" s="32">
        <f>C69&amp;"|"&amp;E69</f>
        <v/>
      </c>
      <c r="Q69" s="33" t="inlineStr">
        <is>
          <t>COUNTRY CORRECTED to ESP (Iurreta, Basque Country). Integrated sack kraft paper + pulp (Smurfit Kappa; EUWID)</t>
        </is>
      </c>
    </row>
    <row r="70" ht="24" customHeight="1" s="80">
      <c r="A70" s="22" t="n">
        <v>44375544</v>
      </c>
      <c r="B70" s="23" t="inlineStr">
        <is>
          <t>Smurfit Kappa Piteå</t>
        </is>
      </c>
      <c r="C70" s="23" t="inlineStr">
        <is>
          <t>Sweden</t>
        </is>
      </c>
      <c r="D70" s="24" t="inlineStr">
        <is>
          <t>Integrated</t>
        </is>
      </c>
      <c r="E70" s="22" t="inlineStr">
        <is>
          <t>C17</t>
        </is>
      </c>
      <c r="F70" s="25" t="n">
        <v>148763.1111</v>
      </c>
      <c r="G70" s="26" t="inlineStr">
        <is>
          <t>PROXY</t>
        </is>
      </c>
      <c r="H70" s="27">
        <f>VLOOKUP(D70,Parameters!$A$5:$B$8,2,FALSE())</f>
        <v/>
      </c>
      <c r="I70" s="28">
        <f>IFERROR(IF(VLOOKUP(P70,Fossil_Shares!$J$3:$K$98,2,FALSE())="",VLOOKUP(E70,Parameters!$A$12:$B$14,2,FALSE()),VLOOKUP(P70,Fossil_Shares!$J$3:$K$98,2,FALSE())),VLOOKUP(E70,Parameters!$A$12:$B$14,2,FALSE()))</f>
        <v/>
      </c>
      <c r="J70" s="22">
        <f>IFERROR(IF(VLOOKUP(P70,Fossil_Shares!$J$3:$K$98,2,FALSE())="","EU27 fallback","Eurostat"),"EU27 fallback")</f>
        <v/>
      </c>
      <c r="K70" s="29">
        <f>VLOOKUP(D70,Parameters!$A$18:$B$21,2,FALSE())</f>
        <v/>
      </c>
      <c r="L70" s="30">
        <f>IF(N70="YES",F70*H70,0)</f>
        <v/>
      </c>
      <c r="M70" s="30">
        <f>L70*I70*K70</f>
        <v/>
      </c>
      <c r="N70" s="31" t="inlineStr">
        <is>
          <t>YES</t>
        </is>
      </c>
      <c r="O70" s="23" t="inlineStr">
        <is>
          <t>COUNTRY_CORRECTED</t>
        </is>
      </c>
      <c r="P70" s="32">
        <f>C70&amp;"|"&amp;E70</f>
        <v/>
      </c>
      <c r="Q70" s="33" t="inlineStr">
        <is>
          <t>COUNTRY CORRECTED to SWE (Piteå, Sweden). Europe's largest kraftliner mill: integrated softwood+hardwood kraft pulp + kraftliner (Valmet)</t>
        </is>
      </c>
    </row>
    <row r="71" ht="24" customHeight="1" s="80">
      <c r="A71" s="38" t="n">
        <v>44375547</v>
      </c>
      <c r="B71" s="39" t="inlineStr">
        <is>
          <t>SCA Ortviken</t>
        </is>
      </c>
      <c r="C71" s="39" t="inlineStr">
        <is>
          <t>Sweden</t>
        </is>
      </c>
      <c r="D71" s="39" t="inlineStr">
        <is>
          <t>Pulp</t>
        </is>
      </c>
      <c r="E71" s="38" t="inlineStr">
        <is>
          <t>C1711</t>
        </is>
      </c>
      <c r="F71" s="40" t="n">
        <v>158885.40161</v>
      </c>
      <c r="G71" s="36" t="inlineStr">
        <is>
          <t>ok</t>
        </is>
      </c>
      <c r="H71" s="27">
        <f>VLOOKUP(D71,Parameters!$A$5:$B$8,2,FALSE())</f>
        <v/>
      </c>
      <c r="I71" s="41">
        <f>IFERROR(IF(VLOOKUP(P71,Fossil_Shares!$J$3:$K$98,2,FALSE())="",VLOOKUP(E71,Parameters!$A$12:$B$14,2,FALSE()),VLOOKUP(P71,Fossil_Shares!$J$3:$K$98,2,FALSE())),VLOOKUP(E71,Parameters!$A$12:$B$14,2,FALSE()))</f>
        <v/>
      </c>
      <c r="J71" s="38">
        <f>IFERROR(IF(VLOOKUP(P71,Fossil_Shares!$J$3:$K$98,2,FALSE())="","EU27 fallback","Eurostat"),"EU27 fallback")</f>
        <v/>
      </c>
      <c r="K71" s="42">
        <f>VLOOKUP(D71,Parameters!$A$18:$B$21,2,FALSE())</f>
        <v/>
      </c>
      <c r="L71" s="43">
        <f>IF(N71="YES",F71*H71,0)</f>
        <v/>
      </c>
      <c r="M71" s="43">
        <f>L71*I71*K71</f>
        <v/>
      </c>
      <c r="N71" s="44" t="inlineStr">
        <is>
          <t>no</t>
        </is>
      </c>
      <c r="O71" s="39" t="inlineStr">
        <is>
          <t>COUNTRY_CORRECTED</t>
        </is>
      </c>
      <c r="P71" s="45">
        <f>C71&amp;"|"&amp;E71</f>
        <v/>
      </c>
      <c r="Q71" s="46" t="inlineStr">
        <is>
          <t>COUNTRY CORRECTED to SWE (Sundsvall). Graphic PMs closed 2021; converted to CTMP/pulp production — see also 44375659</t>
        </is>
      </c>
    </row>
    <row r="72" ht="24" customHeight="1" s="80">
      <c r="A72" s="22" t="n">
        <v>44375653</v>
      </c>
      <c r="B72" s="23" t="inlineStr">
        <is>
          <t>Stora Enso Consumer Board Fors Mill</t>
        </is>
      </c>
      <c r="C72" s="23" t="inlineStr">
        <is>
          <t>Sweden</t>
        </is>
      </c>
      <c r="D72" s="24" t="inlineStr">
        <is>
          <t>Integrated</t>
        </is>
      </c>
      <c r="E72" s="22" t="inlineStr">
        <is>
          <t>C17</t>
        </is>
      </c>
      <c r="F72" s="25" t="n">
        <v>162131.65512</v>
      </c>
      <c r="G72" s="36" t="inlineStr">
        <is>
          <t>ok</t>
        </is>
      </c>
      <c r="H72" s="27">
        <f>VLOOKUP(D72,Parameters!$A$5:$B$8,2,FALSE())</f>
        <v/>
      </c>
      <c r="I72" s="28">
        <f>IFERROR(IF(VLOOKUP(P72,Fossil_Shares!$J$3:$K$98,2,FALSE())="",VLOOKUP(E72,Parameters!$A$12:$B$14,2,FALSE()),VLOOKUP(P72,Fossil_Shares!$J$3:$K$98,2,FALSE())),VLOOKUP(E72,Parameters!$A$12:$B$14,2,FALSE()))</f>
        <v/>
      </c>
      <c r="J72" s="22">
        <f>IFERROR(IF(VLOOKUP(P72,Fossil_Shares!$J$3:$K$98,2,FALSE())="","EU27 fallback","Eurostat"),"EU27 fallback")</f>
        <v/>
      </c>
      <c r="K72" s="29">
        <f>VLOOKUP(D72,Parameters!$A$18:$B$21,2,FALSE())</f>
        <v/>
      </c>
      <c r="L72" s="30">
        <f>IF(N72="YES",F72*H72,0)</f>
        <v/>
      </c>
      <c r="M72" s="30">
        <f>L72*I72*K72</f>
        <v/>
      </c>
      <c r="N72" s="31" t="inlineStr">
        <is>
          <t>YES</t>
        </is>
      </c>
      <c r="O72" s="23" t="n"/>
      <c r="P72" s="32">
        <f>C72&amp;"|"&amp;E72</f>
        <v/>
      </c>
      <c r="Q72" s="33" t="inlineStr">
        <is>
          <t>Fors: consumer/liquid packaging board with integrated mechanical/chemical pulp (Stora Enso)</t>
        </is>
      </c>
    </row>
    <row r="73">
      <c r="A73" s="38" t="n">
        <v>44375542</v>
      </c>
      <c r="B73" s="39" t="inlineStr">
        <is>
          <t>Abifor AB - Rottneros Group</t>
        </is>
      </c>
      <c r="C73" s="39" t="inlineStr">
        <is>
          <t>Sweden</t>
        </is>
      </c>
      <c r="D73" s="39" t="inlineStr">
        <is>
          <t>Pulp</t>
        </is>
      </c>
      <c r="E73" s="38" t="inlineStr">
        <is>
          <t>C1711</t>
        </is>
      </c>
      <c r="F73" s="40" t="n">
        <v>187258.4649</v>
      </c>
      <c r="G73" s="36" t="inlineStr">
        <is>
          <t>ok</t>
        </is>
      </c>
      <c r="H73" s="27">
        <f>VLOOKUP(D73,Parameters!$A$5:$B$8,2,FALSE())</f>
        <v/>
      </c>
      <c r="I73" s="41">
        <f>IFERROR(IF(VLOOKUP(P73,Fossil_Shares!$J$3:$K$98,2,FALSE())="",VLOOKUP(E73,Parameters!$A$12:$B$14,2,FALSE()),VLOOKUP(P73,Fossil_Shares!$J$3:$K$98,2,FALSE())),VLOOKUP(E73,Parameters!$A$12:$B$14,2,FALSE()))</f>
        <v/>
      </c>
      <c r="J73" s="38">
        <f>IFERROR(IF(VLOOKUP(P73,Fossil_Shares!$J$3:$K$98,2,FALSE())="","EU27 fallback","Eurostat"),"EU27 fallback")</f>
        <v/>
      </c>
      <c r="K73" s="42">
        <f>VLOOKUP(D73,Parameters!$A$18:$B$21,2,FALSE())</f>
        <v/>
      </c>
      <c r="L73" s="43">
        <f>IF(N73="YES",F73*H73,0)</f>
        <v/>
      </c>
      <c r="M73" s="43">
        <f>L73*I73*K73</f>
        <v/>
      </c>
      <c r="N73" s="44" t="inlineStr">
        <is>
          <t>no</t>
        </is>
      </c>
      <c r="O73" s="39" t="inlineStr">
        <is>
          <t>COUNTRY_CORRECTED</t>
        </is>
      </c>
      <c r="P73" s="45">
        <f>C73&amp;"|"&amp;E73</f>
        <v/>
      </c>
      <c r="Q73" s="46" t="inlineStr">
        <is>
          <t>COUNTRY CORRECTED to SWE. Rottneros: mechanical/CTMP market pulp</t>
        </is>
      </c>
    </row>
    <row r="74" ht="24" customHeight="1" s="80">
      <c r="A74" s="22" t="n">
        <v>44375651</v>
      </c>
      <c r="B74" s="23" t="inlineStr">
        <is>
          <t>Nordic Paper</t>
        </is>
      </c>
      <c r="C74" s="23" t="inlineStr">
        <is>
          <t>Sweden</t>
        </is>
      </c>
      <c r="D74" s="34" t="inlineStr">
        <is>
          <t>Paper/Board</t>
        </is>
      </c>
      <c r="E74" s="22" t="inlineStr">
        <is>
          <t>C17xP</t>
        </is>
      </c>
      <c r="F74" s="25" t="n">
        <v>201569.08475</v>
      </c>
      <c r="G74" s="36" t="inlineStr">
        <is>
          <t>ok</t>
        </is>
      </c>
      <c r="H74" s="27">
        <f>VLOOKUP(D74,Parameters!$A$5:$B$8,2,FALSE())</f>
        <v/>
      </c>
      <c r="I74" s="28">
        <f>IFERROR(IF(VLOOKUP(P74,Fossil_Shares!$J$3:$K$98,2,FALSE())="",VLOOKUP(E74,Parameters!$A$12:$B$14,2,FALSE()),VLOOKUP(P74,Fossil_Shares!$J$3:$K$98,2,FALSE())),VLOOKUP(E74,Parameters!$A$12:$B$14,2,FALSE()))</f>
        <v/>
      </c>
      <c r="J74" s="22">
        <f>IFERROR(IF(VLOOKUP(P74,Fossil_Shares!$J$3:$K$98,2,FALSE())="","EU27 fallback","Eurostat"),"EU27 fallback")</f>
        <v/>
      </c>
      <c r="K74" s="29">
        <f>VLOOKUP(D74,Parameters!$A$18:$B$21,2,FALSE())</f>
        <v/>
      </c>
      <c r="L74" s="30">
        <f>IF(N74="YES",F74*H74,0)</f>
        <v/>
      </c>
      <c r="M74" s="30">
        <f>L74*I74*K74</f>
        <v/>
      </c>
      <c r="N74" s="31" t="inlineStr">
        <is>
          <t>YES</t>
        </is>
      </c>
      <c r="O74" s="23" t="inlineStr">
        <is>
          <t>NEEDS_VERIFICATION</t>
        </is>
      </c>
      <c r="P74" s="32">
        <f>C74&amp;"|"&amp;E74</f>
        <v/>
      </c>
      <c r="Q74" s="33" t="inlineStr">
        <is>
          <t>Nordic Paper: kraft &amp; greaseproof papers; some sites have unbleached kraft pulp (Bäckhammar) — verify which mill</t>
        </is>
      </c>
    </row>
    <row r="75" ht="24" customHeight="1" s="80">
      <c r="A75" s="22" t="n">
        <v>44375659</v>
      </c>
      <c r="B75" s="23" t="inlineStr">
        <is>
          <t>SCA Ortviken Pulp Mill</t>
        </is>
      </c>
      <c r="C75" s="23" t="inlineStr">
        <is>
          <t>Sweden</t>
        </is>
      </c>
      <c r="D75" s="35" t="inlineStr">
        <is>
          <t>Pulp</t>
        </is>
      </c>
      <c r="E75" s="22" t="inlineStr">
        <is>
          <t>C1711</t>
        </is>
      </c>
      <c r="F75" s="25" t="n">
        <v>262916.19751</v>
      </c>
      <c r="G75" s="36" t="inlineStr">
        <is>
          <t>ok</t>
        </is>
      </c>
      <c r="H75" s="27">
        <f>VLOOKUP(D75,Parameters!$A$5:$B$8,2,FALSE())</f>
        <v/>
      </c>
      <c r="I75" s="28">
        <f>IFERROR(IF(VLOOKUP(P75,Fossil_Shares!$J$3:$K$98,2,FALSE())="",VLOOKUP(E75,Parameters!$A$12:$B$14,2,FALSE()),VLOOKUP(P75,Fossil_Shares!$J$3:$K$98,2,FALSE())),VLOOKUP(E75,Parameters!$A$12:$B$14,2,FALSE()))</f>
        <v/>
      </c>
      <c r="J75" s="22">
        <f>IFERROR(IF(VLOOKUP(P75,Fossil_Shares!$J$3:$K$98,2,FALSE())="","EU27 fallback","Eurostat"),"EU27 fallback")</f>
        <v/>
      </c>
      <c r="K75" s="29">
        <f>VLOOKUP(D75,Parameters!$A$18:$B$21,2,FALSE())</f>
        <v/>
      </c>
      <c r="L75" s="30">
        <f>IF(N75="YES",F75*H75,0)</f>
        <v/>
      </c>
      <c r="M75" s="30">
        <f>L75*I75*K75</f>
        <v/>
      </c>
      <c r="N75" s="31" t="inlineStr">
        <is>
          <t>YES</t>
        </is>
      </c>
      <c r="O75" s="23" t="n"/>
      <c r="P75" s="32">
        <f>C75&amp;"|"&amp;E75</f>
        <v/>
      </c>
      <c r="Q75" s="33" t="inlineStr">
        <is>
          <t>Post-2021 converted from publication paper to CTMP/pulp; treat as Pulp (current) — relates to 44375547</t>
        </is>
      </c>
    </row>
    <row r="76">
      <c r="A76" s="22" t="n">
        <v>44375657</v>
      </c>
      <c r="B76" s="23" t="inlineStr">
        <is>
          <t>Sylvamo Nymölla Mill - Sylvamo Pulp Mill</t>
        </is>
      </c>
      <c r="C76" s="23" t="inlineStr">
        <is>
          <t>Sweden</t>
        </is>
      </c>
      <c r="D76" s="24" t="inlineStr">
        <is>
          <t>Integrated</t>
        </is>
      </c>
      <c r="E76" s="22" t="inlineStr">
        <is>
          <t>C17</t>
        </is>
      </c>
      <c r="F76" s="25" t="n">
        <v>297971.6905199999</v>
      </c>
      <c r="G76" s="36" t="inlineStr">
        <is>
          <t>ok</t>
        </is>
      </c>
      <c r="H76" s="27">
        <f>VLOOKUP(D76,Parameters!$A$5:$B$8,2,FALSE())</f>
        <v/>
      </c>
      <c r="I76" s="28">
        <f>IFERROR(IF(VLOOKUP(P76,Fossil_Shares!$J$3:$K$98,2,FALSE())="",VLOOKUP(E76,Parameters!$A$12:$B$14,2,FALSE()),VLOOKUP(P76,Fossil_Shares!$J$3:$K$98,2,FALSE())),VLOOKUP(E76,Parameters!$A$12:$B$14,2,FALSE()))</f>
        <v/>
      </c>
      <c r="J76" s="22">
        <f>IFERROR(IF(VLOOKUP(P76,Fossil_Shares!$J$3:$K$98,2,FALSE())="","EU27 fallback","Eurostat"),"EU27 fallback")</f>
        <v/>
      </c>
      <c r="K76" s="29">
        <f>VLOOKUP(D76,Parameters!$A$18:$B$21,2,FALSE())</f>
        <v/>
      </c>
      <c r="L76" s="30">
        <f>IF(N76="YES",F76*H76,0)</f>
        <v/>
      </c>
      <c r="M76" s="30">
        <f>L76*I76*K76</f>
        <v/>
      </c>
      <c r="N76" s="31" t="inlineStr">
        <is>
          <t>YES</t>
        </is>
      </c>
      <c r="O76" s="23" t="n"/>
      <c r="P76" s="32">
        <f>C76&amp;"|"&amp;E76</f>
        <v/>
      </c>
      <c r="Q76" s="33" t="inlineStr">
        <is>
          <t>Nymölla: integrated kraft pulp + uncoated woodfree paper (Sylvamo)</t>
        </is>
      </c>
    </row>
    <row r="77" ht="24" customHeight="1" s="80">
      <c r="A77" s="22" t="n">
        <v>44375652</v>
      </c>
      <c r="B77" s="23" t="inlineStr">
        <is>
          <t>Domsjö Fabriker AB</t>
        </is>
      </c>
      <c r="C77" s="23" t="inlineStr">
        <is>
          <t>Sweden</t>
        </is>
      </c>
      <c r="D77" s="35" t="inlineStr">
        <is>
          <t>Pulp</t>
        </is>
      </c>
      <c r="E77" s="22" t="inlineStr">
        <is>
          <t>C1711</t>
        </is>
      </c>
      <c r="F77" s="25" t="n">
        <v>324263.3103</v>
      </c>
      <c r="G77" s="36" t="inlineStr">
        <is>
          <t>ok</t>
        </is>
      </c>
      <c r="H77" s="27">
        <f>VLOOKUP(D77,Parameters!$A$5:$B$8,2,FALSE())</f>
        <v/>
      </c>
      <c r="I77" s="28">
        <f>IFERROR(IF(VLOOKUP(P77,Fossil_Shares!$J$3:$K$98,2,FALSE())="",VLOOKUP(E77,Parameters!$A$12:$B$14,2,FALSE()),VLOOKUP(P77,Fossil_Shares!$J$3:$K$98,2,FALSE())),VLOOKUP(E77,Parameters!$A$12:$B$14,2,FALSE()))</f>
        <v/>
      </c>
      <c r="J77" s="22">
        <f>IFERROR(IF(VLOOKUP(P77,Fossil_Shares!$J$3:$K$98,2,FALSE())="","EU27 fallback","Eurostat"),"EU27 fallback")</f>
        <v/>
      </c>
      <c r="K77" s="29">
        <f>VLOOKUP(D77,Parameters!$A$18:$B$21,2,FALSE())</f>
        <v/>
      </c>
      <c r="L77" s="30">
        <f>IF(N77="YES",F77*H77,0)</f>
        <v/>
      </c>
      <c r="M77" s="30">
        <f>L77*I77*K77</f>
        <v/>
      </c>
      <c r="N77" s="31" t="inlineStr">
        <is>
          <t>YES</t>
        </is>
      </c>
      <c r="O77" s="23" t="n"/>
      <c r="P77" s="32">
        <f>C77&amp;"|"&amp;E77</f>
        <v/>
      </c>
      <c r="Q77" s="33" t="inlineStr">
        <is>
          <t>Örnsköldsvik biorefinery: dissolving cellulose + lignin + bioethanol; no paper (Domsjö/Aditya Birla; Wikipedia)</t>
        </is>
      </c>
    </row>
    <row r="78" ht="24" customHeight="1" s="80">
      <c r="A78" s="22" t="n">
        <v>44375655</v>
      </c>
      <c r="B78" s="23" t="inlineStr">
        <is>
          <t>Södra Cell AB - Södra Cell Mörrum</t>
        </is>
      </c>
      <c r="C78" s="23" t="inlineStr">
        <is>
          <t>Sweden</t>
        </is>
      </c>
      <c r="D78" s="35" t="inlineStr">
        <is>
          <t>Pulp</t>
        </is>
      </c>
      <c r="E78" s="22" t="inlineStr">
        <is>
          <t>C1711</t>
        </is>
      </c>
      <c r="F78" s="25" t="n">
        <v>411902.0427699999</v>
      </c>
      <c r="G78" s="36" t="inlineStr">
        <is>
          <t>ok</t>
        </is>
      </c>
      <c r="H78" s="27">
        <f>VLOOKUP(D78,Parameters!$A$5:$B$8,2,FALSE())</f>
        <v/>
      </c>
      <c r="I78" s="28">
        <f>IFERROR(IF(VLOOKUP(P78,Fossil_Shares!$J$3:$K$98,2,FALSE())="",VLOOKUP(E78,Parameters!$A$12:$B$14,2,FALSE()),VLOOKUP(P78,Fossil_Shares!$J$3:$K$98,2,FALSE())),VLOOKUP(E78,Parameters!$A$12:$B$14,2,FALSE()))</f>
        <v/>
      </c>
      <c r="J78" s="22">
        <f>IFERROR(IF(VLOOKUP(P78,Fossil_Shares!$J$3:$K$98,2,FALSE())="","EU27 fallback","Eurostat"),"EU27 fallback")</f>
        <v/>
      </c>
      <c r="K78" s="29">
        <f>VLOOKUP(D78,Parameters!$A$18:$B$21,2,FALSE())</f>
        <v/>
      </c>
      <c r="L78" s="30">
        <f>IF(N78="YES",F78*H78,0)</f>
        <v/>
      </c>
      <c r="M78" s="30">
        <f>L78*I78*K78</f>
        <v/>
      </c>
      <c r="N78" s="31" t="inlineStr">
        <is>
          <t>YES</t>
        </is>
      </c>
      <c r="O78" s="23" t="n"/>
      <c r="P78" s="32">
        <f>C78&amp;"|"&amp;E78</f>
        <v/>
      </c>
      <c r="Q78" s="33" t="inlineStr">
        <is>
          <t>Market paper pulp 300kt softwood + dissolving pulp 170kt hardwood; no paper (Södra)</t>
        </is>
      </c>
    </row>
    <row r="79" ht="24" customHeight="1" s="80">
      <c r="A79" s="22" t="n">
        <v>44375658</v>
      </c>
      <c r="B79" s="23" t="inlineStr">
        <is>
          <t>Stora Enso Packaging Boards Skoghall Mill - Udden</t>
        </is>
      </c>
      <c r="C79" s="23" t="inlineStr">
        <is>
          <t>Sweden</t>
        </is>
      </c>
      <c r="D79" s="24" t="inlineStr">
        <is>
          <t>Integrated</t>
        </is>
      </c>
      <c r="E79" s="22" t="inlineStr">
        <is>
          <t>C17</t>
        </is>
      </c>
      <c r="F79" s="25" t="n">
        <v>569651.76132</v>
      </c>
      <c r="G79" s="36" t="inlineStr">
        <is>
          <t>ok</t>
        </is>
      </c>
      <c r="H79" s="27">
        <f>VLOOKUP(D79,Parameters!$A$5:$B$8,2,FALSE())</f>
        <v/>
      </c>
      <c r="I79" s="28">
        <f>IFERROR(IF(VLOOKUP(P79,Fossil_Shares!$J$3:$K$98,2,FALSE())="",VLOOKUP(E79,Parameters!$A$12:$B$14,2,FALSE()),VLOOKUP(P79,Fossil_Shares!$J$3:$K$98,2,FALSE())),VLOOKUP(E79,Parameters!$A$12:$B$14,2,FALSE()))</f>
        <v/>
      </c>
      <c r="J79" s="22">
        <f>IFERROR(IF(VLOOKUP(P79,Fossil_Shares!$J$3:$K$98,2,FALSE())="","EU27 fallback","Eurostat"),"EU27 fallback")</f>
        <v/>
      </c>
      <c r="K79" s="29">
        <f>VLOOKUP(D79,Parameters!$A$18:$B$21,2,FALSE())</f>
        <v/>
      </c>
      <c r="L79" s="30">
        <f>IF(N79="YES",F79*H79,0)</f>
        <v/>
      </c>
      <c r="M79" s="30">
        <f>L79*I79*K79</f>
        <v/>
      </c>
      <c r="N79" s="31" t="inlineStr">
        <is>
          <t>YES</t>
        </is>
      </c>
      <c r="O79" s="23" t="n"/>
      <c r="P79" s="32">
        <f>C79&amp;"|"&amp;E79</f>
        <v/>
      </c>
      <c r="Q79" s="33" t="inlineStr">
        <is>
          <t>Skoghall: integrated board + on-site mechanical/chemical pulp for liquid packaging board (Stora Enso)</t>
        </is>
      </c>
    </row>
    <row r="80">
      <c r="A80" s="38" t="n">
        <v>44375662</v>
      </c>
      <c r="B80" s="39" t="inlineStr">
        <is>
          <t>Södra Cell Värö</t>
        </is>
      </c>
      <c r="C80" s="39" t="inlineStr">
        <is>
          <t>Sweden</t>
        </is>
      </c>
      <c r="D80" s="39" t="inlineStr">
        <is>
          <t>Pulp</t>
        </is>
      </c>
      <c r="E80" s="38" t="inlineStr">
        <is>
          <t>C1711</t>
        </is>
      </c>
      <c r="F80" s="40" t="n">
        <v>613471.12752</v>
      </c>
      <c r="G80" s="36" t="inlineStr">
        <is>
          <t>ok</t>
        </is>
      </c>
      <c r="H80" s="27">
        <f>VLOOKUP(D80,Parameters!$A$5:$B$8,2,FALSE())</f>
        <v/>
      </c>
      <c r="I80" s="41">
        <f>IFERROR(IF(VLOOKUP(P80,Fossil_Shares!$J$3:$K$98,2,FALSE())="",VLOOKUP(E80,Parameters!$A$12:$B$14,2,FALSE()),VLOOKUP(P80,Fossil_Shares!$J$3:$K$98,2,FALSE())),VLOOKUP(E80,Parameters!$A$12:$B$14,2,FALSE()))</f>
        <v/>
      </c>
      <c r="J80" s="38">
        <f>IFERROR(IF(VLOOKUP(P80,Fossil_Shares!$J$3:$K$98,2,FALSE())="","EU27 fallback","Eurostat"),"EU27 fallback")</f>
        <v/>
      </c>
      <c r="K80" s="42">
        <f>VLOOKUP(D80,Parameters!$A$18:$B$21,2,FALSE())</f>
        <v/>
      </c>
      <c r="L80" s="43">
        <f>IF(N80="YES",F80*H80,0)</f>
        <v/>
      </c>
      <c r="M80" s="43">
        <f>L80*I80*K80</f>
        <v/>
      </c>
      <c r="N80" s="44" t="inlineStr">
        <is>
          <t>no</t>
        </is>
      </c>
      <c r="O80" s="39" t="inlineStr">
        <is>
          <t>DUPLICATE</t>
        </is>
      </c>
      <c r="P80" s="45">
        <f>C80&amp;"|"&amp;E80</f>
        <v/>
      </c>
      <c r="Q80" s="46" t="inlineStr">
        <is>
          <t>Duplicate of 44375661 — Värö market pulp 760kt/yr</t>
        </is>
      </c>
    </row>
    <row r="81" ht="24" customHeight="1" s="80">
      <c r="A81" s="22" t="n">
        <v>44375654</v>
      </c>
      <c r="B81" s="23" t="inlineStr">
        <is>
          <t>Södra Cell AB - Södra Cell Mönsterås</t>
        </is>
      </c>
      <c r="C81" s="23" t="inlineStr">
        <is>
          <t>Sweden</t>
        </is>
      </c>
      <c r="D81" s="35" t="inlineStr">
        <is>
          <t>Pulp</t>
        </is>
      </c>
      <c r="E81" s="22" t="inlineStr">
        <is>
          <t>C1711</t>
        </is>
      </c>
      <c r="F81" s="25" t="n">
        <v>657290.49379</v>
      </c>
      <c r="G81" s="36" t="inlineStr">
        <is>
          <t>ok</t>
        </is>
      </c>
      <c r="H81" s="27">
        <f>VLOOKUP(D81,Parameters!$A$5:$B$8,2,FALSE())</f>
        <v/>
      </c>
      <c r="I81" s="28">
        <f>IFERROR(IF(VLOOKUP(P81,Fossil_Shares!$J$3:$K$98,2,FALSE())="",VLOOKUP(E81,Parameters!$A$12:$B$14,2,FALSE()),VLOOKUP(P81,Fossil_Shares!$J$3:$K$98,2,FALSE())),VLOOKUP(E81,Parameters!$A$12:$B$14,2,FALSE()))</f>
        <v/>
      </c>
      <c r="J81" s="22">
        <f>IFERROR(IF(VLOOKUP(P81,Fossil_Shares!$J$3:$K$98,2,FALSE())="","EU27 fallback","Eurostat"),"EU27 fallback")</f>
        <v/>
      </c>
      <c r="K81" s="29">
        <f>VLOOKUP(D81,Parameters!$A$18:$B$21,2,FALSE())</f>
        <v/>
      </c>
      <c r="L81" s="30">
        <f>IF(N81="YES",F81*H81,0)</f>
        <v/>
      </c>
      <c r="M81" s="30">
        <f>L81*I81*K81</f>
        <v/>
      </c>
      <c r="N81" s="31" t="inlineStr">
        <is>
          <t>YES</t>
        </is>
      </c>
      <c r="O81" s="23" t="inlineStr">
        <is>
          <t>DUPLICATE</t>
        </is>
      </c>
      <c r="P81" s="32">
        <f>C81&amp;"|"&amp;E81</f>
        <v/>
      </c>
      <c r="Q81" s="33" t="inlineStr">
        <is>
          <t>Softwood+hardwood market pulp 750kt/yr (Södra; Valmet); duplicate of 44375553</t>
        </is>
      </c>
    </row>
    <row r="82">
      <c r="A82" s="22" t="n">
        <v>44375661</v>
      </c>
      <c r="B82" s="23" t="inlineStr">
        <is>
          <t>Södra Cell AB - Södra Cell Värö</t>
        </is>
      </c>
      <c r="C82" s="23" t="inlineStr">
        <is>
          <t>Sweden</t>
        </is>
      </c>
      <c r="D82" s="35" t="inlineStr">
        <is>
          <t>Pulp</t>
        </is>
      </c>
      <c r="E82" s="22" t="inlineStr">
        <is>
          <t>C1711</t>
        </is>
      </c>
      <c r="F82" s="25" t="n">
        <v>666054.3670900001</v>
      </c>
      <c r="G82" s="26" t="inlineStr">
        <is>
          <t>PROXY</t>
        </is>
      </c>
      <c r="H82" s="27">
        <f>VLOOKUP(D82,Parameters!$A$5:$B$8,2,FALSE())</f>
        <v/>
      </c>
      <c r="I82" s="28">
        <f>IFERROR(IF(VLOOKUP(P82,Fossil_Shares!$J$3:$K$98,2,FALSE())="",VLOOKUP(E82,Parameters!$A$12:$B$14,2,FALSE()),VLOOKUP(P82,Fossil_Shares!$J$3:$K$98,2,FALSE())),VLOOKUP(E82,Parameters!$A$12:$B$14,2,FALSE()))</f>
        <v/>
      </c>
      <c r="J82" s="22">
        <f>IFERROR(IF(VLOOKUP(P82,Fossil_Shares!$J$3:$K$98,2,FALSE())="","EU27 fallback","Eurostat"),"EU27 fallback")</f>
        <v/>
      </c>
      <c r="K82" s="29">
        <f>VLOOKUP(D82,Parameters!$A$18:$B$21,2,FALSE())</f>
        <v/>
      </c>
      <c r="L82" s="30">
        <f>IF(N82="YES",F82*H82,0)</f>
        <v/>
      </c>
      <c r="M82" s="30">
        <f>L82*I82*K82</f>
        <v/>
      </c>
      <c r="N82" s="31" t="inlineStr">
        <is>
          <t>YES</t>
        </is>
      </c>
      <c r="O82" s="23" t="n"/>
      <c r="P82" s="32">
        <f>C82&amp;"|"&amp;E82</f>
        <v/>
      </c>
      <c r="Q82" s="33" t="inlineStr">
        <is>
          <t>ECF softwood market pulp 760kt/yr; no paper (Södra)</t>
        </is>
      </c>
    </row>
    <row r="83" ht="24" customHeight="1" s="80">
      <c r="A83" s="38" t="n">
        <v>44375663</v>
      </c>
      <c r="B83" s="39" t="inlineStr">
        <is>
          <t>Södra Cell Virkesvägen 1</t>
        </is>
      </c>
      <c r="C83" s="39" t="inlineStr">
        <is>
          <t>Sweden</t>
        </is>
      </c>
      <c r="D83" s="39" t="inlineStr">
        <is>
          <t>Pulp</t>
        </is>
      </c>
      <c r="E83" s="38" t="inlineStr">
        <is>
          <t>C1711</t>
        </is>
      </c>
      <c r="F83" s="40" t="n">
        <v>666054.3670900001</v>
      </c>
      <c r="G83" s="26" t="inlineStr">
        <is>
          <t>PROXY</t>
        </is>
      </c>
      <c r="H83" s="27">
        <f>VLOOKUP(D83,Parameters!$A$5:$B$8,2,FALSE())</f>
        <v/>
      </c>
      <c r="I83" s="41">
        <f>IFERROR(IF(VLOOKUP(P83,Fossil_Shares!$J$3:$K$98,2,FALSE())="",VLOOKUP(E83,Parameters!$A$12:$B$14,2,FALSE()),VLOOKUP(P83,Fossil_Shares!$J$3:$K$98,2,FALSE())),VLOOKUP(E83,Parameters!$A$12:$B$14,2,FALSE()))</f>
        <v/>
      </c>
      <c r="J83" s="38">
        <f>IFERROR(IF(VLOOKUP(P83,Fossil_Shares!$J$3:$K$98,2,FALSE())="","EU27 fallback","Eurostat"),"EU27 fallback")</f>
        <v/>
      </c>
      <c r="K83" s="42">
        <f>VLOOKUP(D83,Parameters!$A$18:$B$21,2,FALSE())</f>
        <v/>
      </c>
      <c r="L83" s="43">
        <f>IF(N83="YES",F83*H83,0)</f>
        <v/>
      </c>
      <c r="M83" s="43">
        <f>L83*I83*K83</f>
        <v/>
      </c>
      <c r="N83" s="44" t="inlineStr">
        <is>
          <t>no</t>
        </is>
      </c>
      <c r="O83" s="39" t="inlineStr">
        <is>
          <t>DUPLICATE</t>
        </is>
      </c>
      <c r="P83" s="45">
        <f>C83&amp;"|"&amp;E83</f>
        <v/>
      </c>
      <c r="Q83" s="46" t="inlineStr">
        <is>
          <t>Address-style duplicate of a Södra Cell mill (likely Mönsterås or Värö) — de-duplicate</t>
        </is>
      </c>
    </row>
    <row r="84" ht="24" customHeight="1" s="80">
      <c r="A84" s="22" t="n">
        <v>44375660</v>
      </c>
      <c r="B84" s="23" t="inlineStr">
        <is>
          <t>SCA Massa Östrand massafabrik SCA Graphic Sundsvall AB Pulp Mill</t>
        </is>
      </c>
      <c r="C84" s="23" t="inlineStr">
        <is>
          <t>Sweden</t>
        </is>
      </c>
      <c r="D84" s="35" t="inlineStr">
        <is>
          <t>Pulp</t>
        </is>
      </c>
      <c r="E84" s="22" t="inlineStr">
        <is>
          <t>C1711</t>
        </is>
      </c>
      <c r="F84" s="25" t="n">
        <v>788748.5925599999</v>
      </c>
      <c r="G84" s="36" t="inlineStr">
        <is>
          <t>ok</t>
        </is>
      </c>
      <c r="H84" s="27">
        <f>VLOOKUP(D84,Parameters!$A$5:$B$8,2,FALSE())</f>
        <v/>
      </c>
      <c r="I84" s="28">
        <f>IFERROR(IF(VLOOKUP(P84,Fossil_Shares!$J$3:$K$98,2,FALSE())="",VLOOKUP(E84,Parameters!$A$12:$B$14,2,FALSE()),VLOOKUP(P84,Fossil_Shares!$J$3:$K$98,2,FALSE())),VLOOKUP(E84,Parameters!$A$12:$B$14,2,FALSE()))</f>
        <v/>
      </c>
      <c r="J84" s="22">
        <f>IFERROR(IF(VLOOKUP(P84,Fossil_Shares!$J$3:$K$98,2,FALSE())="","EU27 fallback","Eurostat"),"EU27 fallback")</f>
        <v/>
      </c>
      <c r="K84" s="29">
        <f>VLOOKUP(D84,Parameters!$A$18:$B$21,2,FALSE())</f>
        <v/>
      </c>
      <c r="L84" s="30">
        <f>IF(N84="YES",F84*H84,0)</f>
        <v/>
      </c>
      <c r="M84" s="30">
        <f>L84*I84*K84</f>
        <v/>
      </c>
      <c r="N84" s="31" t="inlineStr">
        <is>
          <t>YES</t>
        </is>
      </c>
      <c r="O84" s="23" t="n"/>
      <c r="P84" s="32">
        <f>C84&amp;"|"&amp;E84</f>
        <v/>
      </c>
      <c r="Q84" s="33" t="inlineStr">
        <is>
          <t>SCA Östrand: greatly expanded bleached kraft market pulp mill ~1Mt — Massa=pulp in Swedish</t>
        </is>
      </c>
    </row>
    <row r="85" ht="24" customHeight="1" s="80">
      <c r="A85" s="22" t="n">
        <v>44375559</v>
      </c>
      <c r="B85" s="23" t="inlineStr">
        <is>
          <t>Holmen Paper Hallstavik</t>
        </is>
      </c>
      <c r="C85" s="23" t="inlineStr">
        <is>
          <t>Sweden</t>
        </is>
      </c>
      <c r="D85" s="34" t="inlineStr">
        <is>
          <t>Paper/Board</t>
        </is>
      </c>
      <c r="E85" s="22" t="inlineStr">
        <is>
          <t>C17xP</t>
        </is>
      </c>
      <c r="F85" s="25" t="n"/>
      <c r="G85" s="36" t="inlineStr">
        <is>
          <t>ok</t>
        </is>
      </c>
      <c r="H85" s="27">
        <f>VLOOKUP(D85,Parameters!$A$5:$B$8,2,FALSE())</f>
        <v/>
      </c>
      <c r="I85" s="28">
        <f>IFERROR(IF(VLOOKUP(P85,Fossil_Shares!$J$3:$K$98,2,FALSE())="",VLOOKUP(E85,Parameters!$A$12:$B$14,2,FALSE()),VLOOKUP(P85,Fossil_Shares!$J$3:$K$98,2,FALSE())),VLOOKUP(E85,Parameters!$A$12:$B$14,2,FALSE()))</f>
        <v/>
      </c>
      <c r="J85" s="22">
        <f>IFERROR(IF(VLOOKUP(P85,Fossil_Shares!$J$3:$K$98,2,FALSE())="","EU27 fallback","Eurostat"),"EU27 fallback")</f>
        <v/>
      </c>
      <c r="K85" s="29">
        <f>VLOOKUP(D85,Parameters!$A$18:$B$21,2,FALSE())</f>
        <v/>
      </c>
      <c r="L85" s="30">
        <f>IF(N85="YES",F85*H85,0)</f>
        <v/>
      </c>
      <c r="M85" s="30">
        <f>L85*I85*K85</f>
        <v/>
      </c>
      <c r="N85" s="31" t="inlineStr">
        <is>
          <t>YES</t>
        </is>
      </c>
      <c r="O85" s="23" t="inlineStr">
        <is>
          <t>COUNTRY_CORRECTED</t>
        </is>
      </c>
      <c r="P85" s="32">
        <f>C85&amp;"|"&amp;E85</f>
        <v/>
      </c>
      <c r="Q85" s="33" t="inlineStr">
        <is>
          <t>COUNTRY CORRECTED to SWE (Hallstavik). Newsprint/book paper (TMP/groundwood); no chemical pulp line</t>
        </is>
      </c>
    </row>
    <row r="86">
      <c r="A86" s="22" t="n">
        <v>44375560</v>
      </c>
      <c r="B86" s="23" t="inlineStr">
        <is>
          <t>Rottneros Bruk AB</t>
        </is>
      </c>
      <c r="C86" s="23" t="inlineStr">
        <is>
          <t>Sweden</t>
        </is>
      </c>
      <c r="D86" s="35" t="inlineStr">
        <is>
          <t>Pulp</t>
        </is>
      </c>
      <c r="E86" s="22" t="inlineStr">
        <is>
          <t>C1711</t>
        </is>
      </c>
      <c r="F86" s="25" t="n"/>
      <c r="G86" s="36" t="inlineStr">
        <is>
          <t>ok</t>
        </is>
      </c>
      <c r="H86" s="27">
        <f>VLOOKUP(D86,Parameters!$A$5:$B$8,2,FALSE())</f>
        <v/>
      </c>
      <c r="I86" s="28">
        <f>IFERROR(IF(VLOOKUP(P86,Fossil_Shares!$J$3:$K$98,2,FALSE())="",VLOOKUP(E86,Parameters!$A$12:$B$14,2,FALSE()),VLOOKUP(P86,Fossil_Shares!$J$3:$K$98,2,FALSE())),VLOOKUP(E86,Parameters!$A$12:$B$14,2,FALSE()))</f>
        <v/>
      </c>
      <c r="J86" s="22">
        <f>IFERROR(IF(VLOOKUP(P86,Fossil_Shares!$J$3:$K$98,2,FALSE())="","EU27 fallback","Eurostat"),"EU27 fallback")</f>
        <v/>
      </c>
      <c r="K86" s="29">
        <f>VLOOKUP(D86,Parameters!$A$18:$B$21,2,FALSE())</f>
        <v/>
      </c>
      <c r="L86" s="30">
        <f>IF(N86="YES",F86*H86,0)</f>
        <v/>
      </c>
      <c r="M86" s="30">
        <f>L86*I86*K86</f>
        <v/>
      </c>
      <c r="N86" s="31" t="inlineStr">
        <is>
          <t>YES</t>
        </is>
      </c>
      <c r="O86" s="23" t="inlineStr">
        <is>
          <t>COUNTRY_CORRECTED</t>
        </is>
      </c>
      <c r="P86" s="32">
        <f>C86&amp;"|"&amp;E86</f>
        <v/>
      </c>
      <c r="Q86" s="33" t="inlineStr">
        <is>
          <t>COUNTRY CORRECTED to SWE. Rottneros: mechanical/CTMP market pulp</t>
        </is>
      </c>
    </row>
    <row r="87" ht="24" customHeight="1" s="80">
      <c r="A87" s="38" t="n">
        <v>44375553</v>
      </c>
      <c r="B87" s="39" t="inlineStr">
        <is>
          <t>Södra Cell Mönsterås</t>
        </is>
      </c>
      <c r="C87" s="39" t="inlineStr">
        <is>
          <t>Sweden</t>
        </is>
      </c>
      <c r="D87" s="39" t="inlineStr">
        <is>
          <t>Pulp</t>
        </is>
      </c>
      <c r="E87" s="38" t="inlineStr">
        <is>
          <t>C1711</t>
        </is>
      </c>
      <c r="F87" s="40" t="n"/>
      <c r="G87" s="36" t="inlineStr">
        <is>
          <t>ok</t>
        </is>
      </c>
      <c r="H87" s="27">
        <f>VLOOKUP(D87,Parameters!$A$5:$B$8,2,FALSE())</f>
        <v/>
      </c>
      <c r="I87" s="41">
        <f>IFERROR(IF(VLOOKUP(P87,Fossil_Shares!$J$3:$K$98,2,FALSE())="",VLOOKUP(E87,Parameters!$A$12:$B$14,2,FALSE()),VLOOKUP(P87,Fossil_Shares!$J$3:$K$98,2,FALSE())),VLOOKUP(E87,Parameters!$A$12:$B$14,2,FALSE()))</f>
        <v/>
      </c>
      <c r="J87" s="38">
        <f>IFERROR(IF(VLOOKUP(P87,Fossil_Shares!$J$3:$K$98,2,FALSE())="","EU27 fallback","Eurostat"),"EU27 fallback")</f>
        <v/>
      </c>
      <c r="K87" s="42">
        <f>VLOOKUP(D87,Parameters!$A$18:$B$21,2,FALSE())</f>
        <v/>
      </c>
      <c r="L87" s="43">
        <f>IF(N87="YES",F87*H87,0)</f>
        <v/>
      </c>
      <c r="M87" s="43">
        <f>L87*I87*K87</f>
        <v/>
      </c>
      <c r="N87" s="44" t="inlineStr">
        <is>
          <t>no</t>
        </is>
      </c>
      <c r="O87" s="39" t="inlineStr">
        <is>
          <t>DUPLICATE|COUNTRY_CORRECTED</t>
        </is>
      </c>
      <c r="P87" s="45">
        <f>C87&amp;"|"&amp;E87</f>
        <v/>
      </c>
      <c r="Q87" s="46" t="inlineStr">
        <is>
          <t>COUNTRY CORRECTED to SWE. Södra Cell Mönsterås: softwood+hardwood market pulp 750kt/yr — duplicate of 44375654</t>
        </is>
      </c>
    </row>
    <row r="88" ht="24" customHeight="1" s="80">
      <c r="A88" s="22" t="n">
        <v>44375549</v>
      </c>
      <c r="B88" s="23" t="inlineStr">
        <is>
          <t>Smurfit Kappa Townsend Hook</t>
        </is>
      </c>
      <c r="C88" s="23" t="inlineStr">
        <is>
          <t>United Kingdom</t>
        </is>
      </c>
      <c r="D88" s="34" t="inlineStr">
        <is>
          <t>Paper/Board</t>
        </is>
      </c>
      <c r="E88" s="22" t="inlineStr">
        <is>
          <t>C17xP</t>
        </is>
      </c>
      <c r="F88" s="25" t="n">
        <v>19790.000003</v>
      </c>
      <c r="G88" s="26" t="inlineStr">
        <is>
          <t>PROXY</t>
        </is>
      </c>
      <c r="H88" s="27">
        <f>VLOOKUP(D88,Parameters!$A$5:$B$8,2,FALSE())</f>
        <v/>
      </c>
      <c r="I88" s="28">
        <f>IFERROR(IF(VLOOKUP(P88,Fossil_Shares!$J$3:$K$98,2,FALSE())="",VLOOKUP(E88,Parameters!$A$12:$B$14,2,FALSE()),VLOOKUP(P88,Fossil_Shares!$J$3:$K$98,2,FALSE())),VLOOKUP(E88,Parameters!$A$12:$B$14,2,FALSE()))</f>
        <v/>
      </c>
      <c r="J88" s="22">
        <f>IFERROR(IF(VLOOKUP(P88,Fossil_Shares!$J$3:$K$98,2,FALSE())="","EU27 fallback","Eurostat"),"EU27 fallback")</f>
        <v/>
      </c>
      <c r="K88" s="29">
        <f>VLOOKUP(D88,Parameters!$A$18:$B$21,2,FALSE())</f>
        <v/>
      </c>
      <c r="L88" s="30">
        <f>IF(N88="YES",F88*H88,0)</f>
        <v/>
      </c>
      <c r="M88" s="30">
        <f>L88*I88*K88</f>
        <v/>
      </c>
      <c r="N88" s="31" t="inlineStr">
        <is>
          <t>YES</t>
        </is>
      </c>
      <c r="O88" s="23" t="inlineStr">
        <is>
          <t>COUNTRY_CORRECTED</t>
        </is>
      </c>
      <c r="P88" s="32">
        <f>C88&amp;"|"&amp;E88</f>
        <v/>
      </c>
      <c r="Q88" s="33" t="inlineStr">
        <is>
          <t>COUNTRY CORRECTED to GBR (Snodland, Kent). Recycled containerboard — outside EU scope</t>
        </is>
      </c>
    </row>
    <row r="89" ht="24" customHeight="1" s="80">
      <c r="A89" s="22" t="n">
        <v>44375545</v>
      </c>
      <c r="B89" s="23" t="inlineStr">
        <is>
          <t>Iggesund Paperboard Workington</t>
        </is>
      </c>
      <c r="C89" s="23" t="inlineStr">
        <is>
          <t>United Kingdom</t>
        </is>
      </c>
      <c r="D89" s="24" t="inlineStr">
        <is>
          <t>Integrated</t>
        </is>
      </c>
      <c r="E89" s="22" t="inlineStr">
        <is>
          <t>C17</t>
        </is>
      </c>
      <c r="F89" s="25" t="n">
        <v>148763.1111</v>
      </c>
      <c r="G89" s="26" t="inlineStr">
        <is>
          <t>PROXY</t>
        </is>
      </c>
      <c r="H89" s="27">
        <f>VLOOKUP(D89,Parameters!$A$5:$B$8,2,FALSE())</f>
        <v/>
      </c>
      <c r="I89" s="28">
        <f>IFERROR(IF(VLOOKUP(P89,Fossil_Shares!$J$3:$K$98,2,FALSE())="",VLOOKUP(E89,Parameters!$A$12:$B$14,2,FALSE()),VLOOKUP(P89,Fossil_Shares!$J$3:$K$98,2,FALSE())),VLOOKUP(E89,Parameters!$A$12:$B$14,2,FALSE()))</f>
        <v/>
      </c>
      <c r="J89" s="22">
        <f>IFERROR(IF(VLOOKUP(P89,Fossil_Shares!$J$3:$K$98,2,FALSE())="","EU27 fallback","Eurostat"),"EU27 fallback")</f>
        <v/>
      </c>
      <c r="K89" s="29">
        <f>VLOOKUP(D89,Parameters!$A$18:$B$21,2,FALSE())</f>
        <v/>
      </c>
      <c r="L89" s="30">
        <f>IF(N89="YES",F89*H89,0)</f>
        <v/>
      </c>
      <c r="M89" s="30">
        <f>L89*I89*K89</f>
        <v/>
      </c>
      <c r="N89" s="31" t="inlineStr">
        <is>
          <t>YES</t>
        </is>
      </c>
      <c r="O89" s="23" t="inlineStr">
        <is>
          <t>COUNTRY_CORRECTED</t>
        </is>
      </c>
      <c r="P89" s="32">
        <f>C89&amp;"|"&amp;E89</f>
        <v/>
      </c>
      <c r="Q89" s="33" t="inlineStr">
        <is>
          <t>COUNTRY CORRECTED to GBR (Workington, UK). Integrated: mechanical pulp + purchased chem pulp → Incada FBB board (Iggesund/Holmen)</t>
        </is>
      </c>
    </row>
    <row r="90" ht="24" customHeight="1" s="80">
      <c r="A90" s="38" t="n">
        <v>44375541</v>
      </c>
      <c r="B90" s="39" t="inlineStr">
        <is>
          <t>UPM Blandin Paper Company</t>
        </is>
      </c>
      <c r="C90" s="39" t="inlineStr">
        <is>
          <t>United States</t>
        </is>
      </c>
      <c r="D90" s="39" t="inlineStr">
        <is>
          <t>Paper/Board</t>
        </is>
      </c>
      <c r="E90" s="38" t="inlineStr">
        <is>
          <t>C17xP</t>
        </is>
      </c>
      <c r="F90" s="40" t="n">
        <v>73766.21161900002</v>
      </c>
      <c r="G90" s="36" t="inlineStr">
        <is>
          <t>ok</t>
        </is>
      </c>
      <c r="H90" s="27">
        <f>VLOOKUP(D90,Parameters!$A$5:$B$8,2,FALSE())</f>
        <v/>
      </c>
      <c r="I90" s="41">
        <f>IFERROR(IF(VLOOKUP(P90,Fossil_Shares!$J$3:$K$98,2,FALSE())="",VLOOKUP(E90,Parameters!$A$12:$B$14,2,FALSE()),VLOOKUP(P90,Fossil_Shares!$J$3:$K$98,2,FALSE())),VLOOKUP(E90,Parameters!$A$12:$B$14,2,FALSE()))</f>
        <v/>
      </c>
      <c r="J90" s="38">
        <f>IFERROR(IF(VLOOKUP(P90,Fossil_Shares!$J$3:$K$98,2,FALSE())="","EU27 fallback","Eurostat"),"EU27 fallback")</f>
        <v/>
      </c>
      <c r="K90" s="42">
        <f>VLOOKUP(D90,Parameters!$A$18:$B$21,2,FALSE())</f>
        <v/>
      </c>
      <c r="L90" s="43">
        <f>IF(N90="YES",F90*H90,0)</f>
        <v/>
      </c>
      <c r="M90" s="43">
        <f>L90*I90*K90</f>
        <v/>
      </c>
      <c r="N90" s="44" t="inlineStr">
        <is>
          <t>no</t>
        </is>
      </c>
      <c r="O90" s="39" t="inlineStr">
        <is>
          <t>COUNTRY_CORRECTED</t>
        </is>
      </c>
      <c r="P90" s="45">
        <f>C90&amp;"|"&amp;E90</f>
        <v/>
      </c>
      <c r="Q90" s="46" t="inlineStr">
        <is>
          <t>COUNTRY CORRECTED to USA (Grand Rapids, MN). UPM Blandin: coated publication paper (groundwood) — outside EU scope</t>
        </is>
      </c>
    </row>
  </sheetData>
  <autoFilter ref="A2:Q90">
    <sortState ref="A3:Q90">
      <sortCondition ref="C2:C90"/>
    </sortState>
  </autoFilter>
  <mergeCells count="1">
    <mergeCell ref="A1:Q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zoomScaleNormal="100" workbookViewId="0">
      <pane ySplit="2" topLeftCell="A3" activePane="bottomLeft" state="frozen"/>
      <selection pane="bottomLeft" activeCell="G34" sqref="G34"/>
    </sheetView>
  </sheetViews>
  <sheetFormatPr baseColWidth="10" defaultColWidth="8.6640625" defaultRowHeight="15"/>
  <cols>
    <col width="18" customWidth="1" style="80" min="1" max="1"/>
    <col width="12" customWidth="1" style="80" min="2" max="3"/>
    <col width="17" customWidth="1" style="80" min="4" max="5"/>
    <col width="18" customWidth="1" style="80" min="6" max="6"/>
    <col width="20" customWidth="1" style="80" min="7" max="7"/>
  </cols>
  <sheetData>
    <row r="1" ht="27.75" customHeight="1" s="80">
      <c r="A1" s="84" t="inlineStr">
        <is>
          <t>Country Summary — SUMIFS over kept facilities (live formulas)</t>
        </is>
      </c>
    </row>
    <row r="2" ht="37.5" customHeight="1" s="80">
      <c r="A2" s="6" t="inlineStr">
        <is>
          <t>Country</t>
        </is>
      </c>
      <c r="B2" s="6" t="inlineStr">
        <is>
          <t>Sites (kept)</t>
        </is>
      </c>
      <c r="C2" s="6" t="inlineStr">
        <is>
          <t>Output (Mt)</t>
        </is>
      </c>
      <c r="D2" s="6" t="inlineStr">
        <is>
          <t>Heat Demand (TWh)</t>
        </is>
      </c>
      <c r="E2" s="6" t="inlineStr">
        <is>
          <t>Replaceable (TWh)</t>
        </is>
      </c>
      <c r="F2" s="6" t="inlineStr">
        <is>
          <t>Implied Fossil Share</t>
        </is>
      </c>
      <c r="G2" s="6" t="inlineStr">
        <is>
          <t>Avg Intensity (MWh/t)</t>
        </is>
      </c>
    </row>
    <row r="3">
      <c r="A3" s="47" t="inlineStr">
        <is>
          <t>Austria</t>
        </is>
      </c>
      <c r="B3" s="47">
        <f>COUNTIFS(Facilities!$C$3:$C$90,A3,Facilities!$N$3:$N$90,"YES")</f>
        <v/>
      </c>
      <c r="C3" s="48">
        <f>SUMIFS(Facilities!$F$3:$F$90,Facilities!$C$3:$C$90,A3,Facilities!$N$3:$N$90,"YES")/1000000</f>
        <v/>
      </c>
      <c r="D3" s="48">
        <f>SUMIFS(Facilities!$L$3:$L$90,Facilities!$C$3:$C$90,A3,Facilities!$N$3:$N$90,"YES")/1000000</f>
        <v/>
      </c>
      <c r="E3" s="48">
        <f>SUMIFS(Facilities!$M$3:$M$90,Facilities!$C$3:$C$90,A3,Facilities!$N$3:$N$90,"YES")/1000000</f>
        <v/>
      </c>
      <c r="F3" s="49">
        <f>IF(D3=0,0,E3/D3)</f>
        <v/>
      </c>
      <c r="G3" s="50">
        <f>IF(C3=0,0,D3/C3)</f>
        <v/>
      </c>
    </row>
    <row r="4">
      <c r="A4" s="51" t="inlineStr">
        <is>
          <t>Belgium</t>
        </is>
      </c>
      <c r="B4" s="51">
        <f>COUNTIFS(Facilities!$C$3:$C$90,A4,Facilities!$N$3:$N$90,"YES")</f>
        <v/>
      </c>
      <c r="C4" s="52">
        <f>SUMIFS(Facilities!$F$3:$F$90,Facilities!$C$3:$C$90,A4,Facilities!$N$3:$N$90,"YES")/1000000</f>
        <v/>
      </c>
      <c r="D4" s="52">
        <f>SUMIFS(Facilities!$L$3:$L$90,Facilities!$C$3:$C$90,A4,Facilities!$N$3:$N$90,"YES")/1000000</f>
        <v/>
      </c>
      <c r="E4" s="52">
        <f>SUMIFS(Facilities!$M$3:$M$90,Facilities!$C$3:$C$90,A4,Facilities!$N$3:$N$90,"YES")/1000000</f>
        <v/>
      </c>
      <c r="F4" s="53">
        <f>IF(D4=0,0,E4/D4)</f>
        <v/>
      </c>
      <c r="G4" s="54">
        <f>IF(C4=0,0,D4/C4)</f>
        <v/>
      </c>
    </row>
    <row r="5">
      <c r="A5" s="47" t="inlineStr">
        <is>
          <t>Bulgaria</t>
        </is>
      </c>
      <c r="B5" s="47">
        <f>COUNTIFS(Facilities!$C$3:$C$90,A5,Facilities!$N$3:$N$90,"YES")</f>
        <v/>
      </c>
      <c r="C5" s="48">
        <f>SUMIFS(Facilities!$F$3:$F$90,Facilities!$C$3:$C$90,A5,Facilities!$N$3:$N$90,"YES")/1000000</f>
        <v/>
      </c>
      <c r="D5" s="48">
        <f>SUMIFS(Facilities!$L$3:$L$90,Facilities!$C$3:$C$90,A5,Facilities!$N$3:$N$90,"YES")/1000000</f>
        <v/>
      </c>
      <c r="E5" s="48">
        <f>SUMIFS(Facilities!$M$3:$M$90,Facilities!$C$3:$C$90,A5,Facilities!$N$3:$N$90,"YES")/1000000</f>
        <v/>
      </c>
      <c r="F5" s="49">
        <f>IF(D5=0,0,E5/D5)</f>
        <v/>
      </c>
      <c r="G5" s="50">
        <f>IF(C5=0,0,D5/C5)</f>
        <v/>
      </c>
    </row>
    <row r="6">
      <c r="A6" s="51" t="inlineStr">
        <is>
          <t>Czechia</t>
        </is>
      </c>
      <c r="B6" s="51">
        <f>COUNTIFS(Facilities!$C$3:$C$90,A6,Facilities!$N$3:$N$90,"YES")</f>
        <v/>
      </c>
      <c r="C6" s="52">
        <f>SUMIFS(Facilities!$F$3:$F$90,Facilities!$C$3:$C$90,A6,Facilities!$N$3:$N$90,"YES")/1000000</f>
        <v/>
      </c>
      <c r="D6" s="52">
        <f>SUMIFS(Facilities!$L$3:$L$90,Facilities!$C$3:$C$90,A6,Facilities!$N$3:$N$90,"YES")/1000000</f>
        <v/>
      </c>
      <c r="E6" s="52">
        <f>SUMIFS(Facilities!$M$3:$M$90,Facilities!$C$3:$C$90,A6,Facilities!$N$3:$N$90,"YES")/1000000</f>
        <v/>
      </c>
      <c r="F6" s="53">
        <f>IF(D6=0,0,E6/D6)</f>
        <v/>
      </c>
      <c r="G6" s="54">
        <f>IF(C6=0,0,D6/C6)</f>
        <v/>
      </c>
    </row>
    <row r="7">
      <c r="A7" s="47" t="inlineStr">
        <is>
          <t>France</t>
        </is>
      </c>
      <c r="B7" s="47">
        <f>COUNTIFS(Facilities!$C$3:$C$90,A7,Facilities!$N$3:$N$90,"YES")</f>
        <v/>
      </c>
      <c r="C7" s="48">
        <f>SUMIFS(Facilities!$F$3:$F$90,Facilities!$C$3:$C$90,A7,Facilities!$N$3:$N$90,"YES")/1000000</f>
        <v/>
      </c>
      <c r="D7" s="48">
        <f>SUMIFS(Facilities!$L$3:$L$90,Facilities!$C$3:$C$90,A7,Facilities!$N$3:$N$90,"YES")/1000000</f>
        <v/>
      </c>
      <c r="E7" s="48">
        <f>SUMIFS(Facilities!$M$3:$M$90,Facilities!$C$3:$C$90,A7,Facilities!$N$3:$N$90,"YES")/1000000</f>
        <v/>
      </c>
      <c r="F7" s="49">
        <f>IF(D7=0,0,E7/D7)</f>
        <v/>
      </c>
      <c r="G7" s="50">
        <f>IF(C7=0,0,D7/C7)</f>
        <v/>
      </c>
    </row>
    <row r="8">
      <c r="A8" s="51" t="inlineStr">
        <is>
          <t>Germany</t>
        </is>
      </c>
      <c r="B8" s="51">
        <f>COUNTIFS(Facilities!$C$3:$C$90,A8,Facilities!$N$3:$N$90,"YES")</f>
        <v/>
      </c>
      <c r="C8" s="52">
        <f>SUMIFS(Facilities!$F$3:$F$90,Facilities!$C$3:$C$90,A8,Facilities!$N$3:$N$90,"YES")/1000000</f>
        <v/>
      </c>
      <c r="D8" s="52">
        <f>SUMIFS(Facilities!$L$3:$L$90,Facilities!$C$3:$C$90,A8,Facilities!$N$3:$N$90,"YES")/1000000</f>
        <v/>
      </c>
      <c r="E8" s="52">
        <f>SUMIFS(Facilities!$M$3:$M$90,Facilities!$C$3:$C$90,A8,Facilities!$N$3:$N$90,"YES")/1000000</f>
        <v/>
      </c>
      <c r="F8" s="53">
        <f>IF(D8=0,0,E8/D8)</f>
        <v/>
      </c>
      <c r="G8" s="54">
        <f>IF(C8=0,0,D8/C8)</f>
        <v/>
      </c>
    </row>
    <row r="9">
      <c r="A9" s="47" t="inlineStr">
        <is>
          <t>Greece</t>
        </is>
      </c>
      <c r="B9" s="47">
        <f>COUNTIFS(Facilities!$C$3:$C$90,A9,Facilities!$N$3:$N$90,"YES")</f>
        <v/>
      </c>
      <c r="C9" s="48">
        <f>SUMIFS(Facilities!$F$3:$F$90,Facilities!$C$3:$C$90,A9,Facilities!$N$3:$N$90,"YES")/1000000</f>
        <v/>
      </c>
      <c r="D9" s="48">
        <f>SUMIFS(Facilities!$L$3:$L$90,Facilities!$C$3:$C$90,A9,Facilities!$N$3:$N$90,"YES")/1000000</f>
        <v/>
      </c>
      <c r="E9" s="48">
        <f>SUMIFS(Facilities!$M$3:$M$90,Facilities!$C$3:$C$90,A9,Facilities!$N$3:$N$90,"YES")/1000000</f>
        <v/>
      </c>
      <c r="F9" s="49">
        <f>IF(D9=0,0,E9/D9)</f>
        <v/>
      </c>
      <c r="G9" s="50">
        <f>IF(C9=0,0,D9/C9)</f>
        <v/>
      </c>
    </row>
    <row r="10">
      <c r="A10" s="51" t="inlineStr">
        <is>
          <t>Hungary</t>
        </is>
      </c>
      <c r="B10" s="51">
        <f>COUNTIFS(Facilities!$C$3:$C$90,A10,Facilities!$N$3:$N$90,"YES")</f>
        <v/>
      </c>
      <c r="C10" s="52">
        <f>SUMIFS(Facilities!$F$3:$F$90,Facilities!$C$3:$C$90,A10,Facilities!$N$3:$N$90,"YES")/1000000</f>
        <v/>
      </c>
      <c r="D10" s="52">
        <f>SUMIFS(Facilities!$L$3:$L$90,Facilities!$C$3:$C$90,A10,Facilities!$N$3:$N$90,"YES")/1000000</f>
        <v/>
      </c>
      <c r="E10" s="52">
        <f>SUMIFS(Facilities!$M$3:$M$90,Facilities!$C$3:$C$90,A10,Facilities!$N$3:$N$90,"YES")/1000000</f>
        <v/>
      </c>
      <c r="F10" s="53">
        <f>IF(D10=0,0,E10/D10)</f>
        <v/>
      </c>
      <c r="G10" s="54">
        <f>IF(C10=0,0,D10/C10)</f>
        <v/>
      </c>
    </row>
    <row r="11">
      <c r="A11" s="47" t="inlineStr">
        <is>
          <t>Italy</t>
        </is>
      </c>
      <c r="B11" s="47">
        <f>COUNTIFS(Facilities!$C$3:$C$90,A11,Facilities!$N$3:$N$90,"YES")</f>
        <v/>
      </c>
      <c r="C11" s="48">
        <f>SUMIFS(Facilities!$F$3:$F$90,Facilities!$C$3:$C$90,A11,Facilities!$N$3:$N$90,"YES")/1000000</f>
        <v/>
      </c>
      <c r="D11" s="48">
        <f>SUMIFS(Facilities!$L$3:$L$90,Facilities!$C$3:$C$90,A11,Facilities!$N$3:$N$90,"YES")/1000000</f>
        <v/>
      </c>
      <c r="E11" s="48">
        <f>SUMIFS(Facilities!$M$3:$M$90,Facilities!$C$3:$C$90,A11,Facilities!$N$3:$N$90,"YES")/1000000</f>
        <v/>
      </c>
      <c r="F11" s="49">
        <f>IF(D11=0,0,E11/D11)</f>
        <v/>
      </c>
      <c r="G11" s="50">
        <f>IF(C11=0,0,D11/C11)</f>
        <v/>
      </c>
    </row>
    <row r="12">
      <c r="A12" s="51" t="inlineStr">
        <is>
          <t>Netherlands</t>
        </is>
      </c>
      <c r="B12" s="51">
        <f>COUNTIFS(Facilities!$C$3:$C$90,A12,Facilities!$N$3:$N$90,"YES")</f>
        <v/>
      </c>
      <c r="C12" s="52">
        <f>SUMIFS(Facilities!$F$3:$F$90,Facilities!$C$3:$C$90,A12,Facilities!$N$3:$N$90,"YES")/1000000</f>
        <v/>
      </c>
      <c r="D12" s="52">
        <f>SUMIFS(Facilities!$L$3:$L$90,Facilities!$C$3:$C$90,A12,Facilities!$N$3:$N$90,"YES")/1000000</f>
        <v/>
      </c>
      <c r="E12" s="52">
        <f>SUMIFS(Facilities!$M$3:$M$90,Facilities!$C$3:$C$90,A12,Facilities!$N$3:$N$90,"YES")/1000000</f>
        <v/>
      </c>
      <c r="F12" s="53">
        <f>IF(D12=0,0,E12/D12)</f>
        <v/>
      </c>
      <c r="G12" s="54">
        <f>IF(C12=0,0,D12/C12)</f>
        <v/>
      </c>
    </row>
    <row r="13">
      <c r="A13" s="47" t="inlineStr">
        <is>
          <t>Norway</t>
        </is>
      </c>
      <c r="B13" s="47">
        <f>COUNTIFS(Facilities!$C$3:$C$90,A13,Facilities!$N$3:$N$90,"YES")</f>
        <v/>
      </c>
      <c r="C13" s="48">
        <f>SUMIFS(Facilities!$F$3:$F$90,Facilities!$C$3:$C$90,A13,Facilities!$N$3:$N$90,"YES")/1000000</f>
        <v/>
      </c>
      <c r="D13" s="48">
        <f>SUMIFS(Facilities!$L$3:$L$90,Facilities!$C$3:$C$90,A13,Facilities!$N$3:$N$90,"YES")/1000000</f>
        <v/>
      </c>
      <c r="E13" s="48">
        <f>SUMIFS(Facilities!$M$3:$M$90,Facilities!$C$3:$C$90,A13,Facilities!$N$3:$N$90,"YES")/1000000</f>
        <v/>
      </c>
      <c r="F13" s="49">
        <f>IF(D13=0,0,E13/D13)</f>
        <v/>
      </c>
      <c r="G13" s="50">
        <f>IF(C13=0,0,D13/C13)</f>
        <v/>
      </c>
    </row>
    <row r="14">
      <c r="A14" s="51" t="inlineStr">
        <is>
          <t>Poland</t>
        </is>
      </c>
      <c r="B14" s="51">
        <f>COUNTIFS(Facilities!$C$3:$C$90,A14,Facilities!$N$3:$N$90,"YES")</f>
        <v/>
      </c>
      <c r="C14" s="52">
        <f>SUMIFS(Facilities!$F$3:$F$90,Facilities!$C$3:$C$90,A14,Facilities!$N$3:$N$90,"YES")/1000000</f>
        <v/>
      </c>
      <c r="D14" s="52">
        <f>SUMIFS(Facilities!$L$3:$L$90,Facilities!$C$3:$C$90,A14,Facilities!$N$3:$N$90,"YES")/1000000</f>
        <v/>
      </c>
      <c r="E14" s="52">
        <f>SUMIFS(Facilities!$M$3:$M$90,Facilities!$C$3:$C$90,A14,Facilities!$N$3:$N$90,"YES")/1000000</f>
        <v/>
      </c>
      <c r="F14" s="53">
        <f>IF(D14=0,0,E14/D14)</f>
        <v/>
      </c>
      <c r="G14" s="54">
        <f>IF(C14=0,0,D14/C14)</f>
        <v/>
      </c>
    </row>
    <row r="15">
      <c r="A15" s="47" t="inlineStr">
        <is>
          <t>Portugal</t>
        </is>
      </c>
      <c r="B15" s="47">
        <f>COUNTIFS(Facilities!$C$3:$C$90,A15,Facilities!$N$3:$N$90,"YES")</f>
        <v/>
      </c>
      <c r="C15" s="48">
        <f>SUMIFS(Facilities!$F$3:$F$90,Facilities!$C$3:$C$90,A15,Facilities!$N$3:$N$90,"YES")/1000000</f>
        <v/>
      </c>
      <c r="D15" s="48">
        <f>SUMIFS(Facilities!$L$3:$L$90,Facilities!$C$3:$C$90,A15,Facilities!$N$3:$N$90,"YES")/1000000</f>
        <v/>
      </c>
      <c r="E15" s="48">
        <f>SUMIFS(Facilities!$M$3:$M$90,Facilities!$C$3:$C$90,A15,Facilities!$N$3:$N$90,"YES")/1000000</f>
        <v/>
      </c>
      <c r="F15" s="49">
        <f>IF(D15=0,0,E15/D15)</f>
        <v/>
      </c>
      <c r="G15" s="50">
        <f>IF(C15=0,0,D15/C15)</f>
        <v/>
      </c>
    </row>
    <row r="16">
      <c r="A16" s="51" t="inlineStr">
        <is>
          <t>Slovakia</t>
        </is>
      </c>
      <c r="B16" s="51">
        <f>COUNTIFS(Facilities!$C$3:$C$90,A16,Facilities!$N$3:$N$90,"YES")</f>
        <v/>
      </c>
      <c r="C16" s="52">
        <f>SUMIFS(Facilities!$F$3:$F$90,Facilities!$C$3:$C$90,A16,Facilities!$N$3:$N$90,"YES")/1000000</f>
        <v/>
      </c>
      <c r="D16" s="52">
        <f>SUMIFS(Facilities!$L$3:$L$90,Facilities!$C$3:$C$90,A16,Facilities!$N$3:$N$90,"YES")/1000000</f>
        <v/>
      </c>
      <c r="E16" s="52">
        <f>SUMIFS(Facilities!$M$3:$M$90,Facilities!$C$3:$C$90,A16,Facilities!$N$3:$N$90,"YES")/1000000</f>
        <v/>
      </c>
      <c r="F16" s="53">
        <f>IF(D16=0,0,E16/D16)</f>
        <v/>
      </c>
      <c r="G16" s="54">
        <f>IF(C16=0,0,D16/C16)</f>
        <v/>
      </c>
    </row>
    <row r="17">
      <c r="A17" s="47" t="inlineStr">
        <is>
          <t>Slovenia</t>
        </is>
      </c>
      <c r="B17" s="47">
        <f>COUNTIFS(Facilities!$C$3:$C$90,A17,Facilities!$N$3:$N$90,"YES")</f>
        <v/>
      </c>
      <c r="C17" s="48">
        <f>SUMIFS(Facilities!$F$3:$F$90,Facilities!$C$3:$C$90,A17,Facilities!$N$3:$N$90,"YES")/1000000</f>
        <v/>
      </c>
      <c r="D17" s="48">
        <f>SUMIFS(Facilities!$L$3:$L$90,Facilities!$C$3:$C$90,A17,Facilities!$N$3:$N$90,"YES")/1000000</f>
        <v/>
      </c>
      <c r="E17" s="48">
        <f>SUMIFS(Facilities!$M$3:$M$90,Facilities!$C$3:$C$90,A17,Facilities!$N$3:$N$90,"YES")/1000000</f>
        <v/>
      </c>
      <c r="F17" s="49">
        <f>IF(D17=0,0,E17/D17)</f>
        <v/>
      </c>
      <c r="G17" s="50">
        <f>IF(C17=0,0,D17/C17)</f>
        <v/>
      </c>
    </row>
    <row r="18">
      <c r="A18" s="51" t="inlineStr">
        <is>
          <t>Spain</t>
        </is>
      </c>
      <c r="B18" s="51">
        <f>COUNTIFS(Facilities!$C$3:$C$90,A18,Facilities!$N$3:$N$90,"YES")</f>
        <v/>
      </c>
      <c r="C18" s="52">
        <f>SUMIFS(Facilities!$F$3:$F$90,Facilities!$C$3:$C$90,A18,Facilities!$N$3:$N$90,"YES")/1000000</f>
        <v/>
      </c>
      <c r="D18" s="52">
        <f>SUMIFS(Facilities!$L$3:$L$90,Facilities!$C$3:$C$90,A18,Facilities!$N$3:$N$90,"YES")/1000000</f>
        <v/>
      </c>
      <c r="E18" s="52">
        <f>SUMIFS(Facilities!$M$3:$M$90,Facilities!$C$3:$C$90,A18,Facilities!$N$3:$N$90,"YES")/1000000</f>
        <v/>
      </c>
      <c r="F18" s="53">
        <f>IF(D18=0,0,E18/D18)</f>
        <v/>
      </c>
      <c r="G18" s="54">
        <f>IF(C18=0,0,D18/C18)</f>
        <v/>
      </c>
    </row>
    <row r="19">
      <c r="A19" s="47" t="inlineStr">
        <is>
          <t>Sweden</t>
        </is>
      </c>
      <c r="B19" s="47">
        <f>COUNTIFS(Facilities!$C$3:$C$90,A19,Facilities!$N$3:$N$90,"YES")</f>
        <v/>
      </c>
      <c r="C19" s="48">
        <f>SUMIFS(Facilities!$F$3:$F$90,Facilities!$C$3:$C$90,A19,Facilities!$N$3:$N$90,"YES")/1000000</f>
        <v/>
      </c>
      <c r="D19" s="48">
        <f>SUMIFS(Facilities!$L$3:$L$90,Facilities!$C$3:$C$90,A19,Facilities!$N$3:$N$90,"YES")/1000000</f>
        <v/>
      </c>
      <c r="E19" s="48">
        <f>SUMIFS(Facilities!$M$3:$M$90,Facilities!$C$3:$C$90,A19,Facilities!$N$3:$N$90,"YES")/1000000</f>
        <v/>
      </c>
      <c r="F19" s="49">
        <f>IF(D19=0,0,E19/D19)</f>
        <v/>
      </c>
      <c r="G19" s="50">
        <f>IF(C19=0,0,D19/C19)</f>
        <v/>
      </c>
    </row>
    <row r="20">
      <c r="A20" s="51" t="inlineStr">
        <is>
          <t>United Kingdom</t>
        </is>
      </c>
      <c r="B20" s="51">
        <f>COUNTIFS(Facilities!$C$3:$C$90,A20,Facilities!$N$3:$N$90,"YES")</f>
        <v/>
      </c>
      <c r="C20" s="52">
        <f>SUMIFS(Facilities!$F$3:$F$90,Facilities!$C$3:$C$90,A20,Facilities!$N$3:$N$90,"YES")/1000000</f>
        <v/>
      </c>
      <c r="D20" s="52">
        <f>SUMIFS(Facilities!$L$3:$L$90,Facilities!$C$3:$C$90,A20,Facilities!$N$3:$N$90,"YES")/1000000</f>
        <v/>
      </c>
      <c r="E20" s="52">
        <f>SUMIFS(Facilities!$M$3:$M$90,Facilities!$C$3:$C$90,A20,Facilities!$N$3:$N$90,"YES")/1000000</f>
        <v/>
      </c>
      <c r="F20" s="53">
        <f>IF(D20=0,0,E20/D20)</f>
        <v/>
      </c>
      <c r="G20" s="54">
        <f>IF(C20=0,0,D20/C20)</f>
        <v/>
      </c>
    </row>
    <row r="21">
      <c r="A21" s="55" t="inlineStr">
        <is>
          <t>TOTAL</t>
        </is>
      </c>
      <c r="B21" s="55">
        <f>SUM(B3:B20)</f>
        <v/>
      </c>
      <c r="C21" s="56">
        <f>SUM(C3:C20)</f>
        <v/>
      </c>
      <c r="D21" s="56">
        <f>SUM(D3:D20)</f>
        <v/>
      </c>
      <c r="E21" s="56">
        <f>SUM(E3:E20)</f>
        <v/>
      </c>
      <c r="F21" s="57">
        <f>IF(D21=0,0,E21/D21)</f>
        <v/>
      </c>
      <c r="G21" s="58">
        <f>IF(C21=0,0,D21/C21)</f>
        <v/>
      </c>
    </row>
  </sheetData>
  <mergeCells count="1">
    <mergeCell ref="A1:G1"/>
  </mergeCells>
  <conditionalFormatting sqref="F3:F20">
    <cfRule type="colorScale" priority="2">
      <colorScale>
        <cfvo type="num" val="0"/>
        <cfvo type="num" val="0.35"/>
        <cfvo type="num" val="0.7"/>
        <color rgb="FF52B788"/>
        <color rgb="FFFFD166"/>
        <color rgb="FFE63946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2026-06-26T18:08:21Z</dcterms:created>
  <dcterms:modified xsi:type="dcterms:W3CDTF">2026-07-08T17:59:48Z</dcterms:modified>
  <cp:lastModifiedBy>Anna Yuen</cp:lastModifiedBy>
  <cp:revision>0</cp:revision>
</cp:coreProperties>
</file>