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nayuen/Desktop/IECC/industrial_decarb/SEC_PPI_IHB_potential/Input/"/>
    </mc:Choice>
  </mc:AlternateContent>
  <xr:revisionPtr revIDLastSave="0" documentId="13_ncr:1_{2009861E-2E28-E44D-B9D3-AFF0AE04EFD8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README" sheetId="1" r:id="rId1"/>
    <sheet name="Fossil_Shares" sheetId="2" r:id="rId2"/>
    <sheet name="Facilities" sheetId="3" r:id="rId3"/>
    <sheet name="EU_Benchmark_Verify" sheetId="4" r:id="rId4"/>
    <sheet name="Source_Type_Guide" sheetId="5" r:id="rId5"/>
  </sheets>
  <definedNames>
    <definedName name="_xlnm._FilterDatabase" localSheetId="2" hidden="1">Facilities!$A$2:$R$90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<sst xmlns="http://schemas.openxmlformats.org/spreadsheetml/2006/main" count="1590" uniqueCount="510">
  <si>
    <t>FIELD</t>
  </si>
  <si>
    <t>VALUE</t>
  </si>
  <si>
    <t>WORKBOOK TITLE</t>
  </si>
  <si>
    <t>Pulp &amp; Paper EU Facilities — Fossil Share &amp; Classification (2023)</t>
  </si>
  <si>
    <t>Data source — Eurostat</t>
  </si>
  <si>
    <t>nrg_d_indq_n (Disaggregated final energy consumption in industry by NACE Rev. 2, quantities), extracted 25 Jun 2026</t>
  </si>
  <si>
    <t>Reference year</t>
  </si>
  <si>
    <t>2023 (NCV, TJ)</t>
  </si>
  <si>
    <t>EU 2023 benchmark — C17 paper+pulp</t>
  </si>
  <si>
    <t>Total: 1,225 PJ; Renewables 40%, Electricity 32.6%, Natural gas 20.3%, Solid fossil 1.8%, Oil 2.3%</t>
  </si>
  <si>
    <t>EU 2023 benchmark — C1711 (pulp)</t>
  </si>
  <si>
    <t>Renewables &amp; biofuels dominate at 302.5 PJ (70.3%); fossil share ≈12–18% at EU level</t>
  </si>
  <si>
    <t>EU 2023 benchmark — C17xP1711 (paper excl. pulp)</t>
  </si>
  <si>
    <t>Renewables 246.8 PJ (33.9%), Electricity 236.9 PJ (32.6%), Natural gas 147.3 PJ (20.3%), Solid fossil 12.9 PJ (1.8%)</t>
  </si>
  <si>
    <t>Fossil share formula</t>
  </si>
  <si>
    <t>(Natural gas + Solid fossil fuels + Manufactured gases + Oil &amp; petroleum) / Total final energy (NCV)</t>
  </si>
  <si>
    <t>NACE assignment by classification</t>
  </si>
  <si>
    <t>Pulp → C1711 | Paper/Board &amp; Tissue → C17_X_C1711 | Integrated → C17 (blended)</t>
  </si>
  <si>
    <t>Facility data source</t>
  </si>
  <si>
    <t>Climate Trace 2024 (87 facilities; sector=pulp-and-paper)</t>
  </si>
  <si>
    <t>Geography corrections</t>
  </si>
  <si>
    <t>16 facilities had wrong iso3_country in source; corrected iso3 applied in Sheet 3</t>
  </si>
  <si>
    <t>Duplicates flagged</t>
  </si>
  <si>
    <t>~8 facility pairs identified as likely duplicates of the same physical site</t>
  </si>
  <si>
    <t>Closures noted</t>
  </si>
  <si>
    <t>Sappi Stockstadt (closed Q1 2024); UPM Steyrermühl graphic paper (ceased end-2023); Arctic Paper Mochenwangen (closed 2015); Tofte (closed 2013)</t>
  </si>
  <si>
    <t>Confidence levels</t>
  </si>
  <si>
    <t>High = named primary source; Medium = strong inference + ≥1 source; Low = name/tag only — verify</t>
  </si>
  <si>
    <t>Sheets in this workbook</t>
  </si>
  <si>
    <t>README | Fossil_Shares (country × sector) | Facilities (classified + fossil share) | EU_Benchmark_Verify | Source_Type_Guide</t>
  </si>
  <si>
    <t>Eurostat nrg_d_indq_n — 2023 Fossil Share by Country &amp; NACE Sector (NCV, TJ)</t>
  </si>
  <si>
    <t>Country</t>
  </si>
  <si>
    <t>ISO3</t>
  </si>
  <si>
    <t>Sector</t>
  </si>
  <si>
    <t>Total TJ (NCV)</t>
  </si>
  <si>
    <t>Natural Gas TJ</t>
  </si>
  <si>
    <t>Solid Fossil TJ</t>
  </si>
  <si>
    <t>Mfg Gases TJ</t>
  </si>
  <si>
    <t>Oil &amp; Petro TJ</t>
  </si>
  <si>
    <t>Fossil Sum TJ</t>
  </si>
  <si>
    <t>Fossil Share</t>
  </si>
  <si>
    <t>Data Available</t>
  </si>
  <si>
    <t>Notes</t>
  </si>
  <si>
    <t>Albania</t>
  </si>
  <si>
    <t>—</t>
  </si>
  <si>
    <t>C17 — All paper &amp; pulp</t>
  </si>
  <si>
    <t>No (confidential)</t>
  </si>
  <si>
    <t>Eurostat suppressed — use EU benchmark</t>
  </si>
  <si>
    <t>C17_X_C1711 — Paper excl. pulp</t>
  </si>
  <si>
    <t>C1711 — Pulp only</t>
  </si>
  <si>
    <t>Austria</t>
  </si>
  <si>
    <t>Yes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</si>
  <si>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</si>
  <si>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</si>
  <si>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</si>
  <si>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</si>
  <si>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</si>
  <si>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</si>
  <si>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</si>
  <si>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</si>
  <si>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</si>
  <si>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</si>
  <si>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</si>
  <si>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</si>
  <si>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</si>
  <si>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</si>
  <si>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</si>
  <si>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</si>
  <si>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</si>
  <si>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</si>
  <si>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</si>
  <si>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</si>
  <si>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</si>
  <si>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</si>
  <si>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</si>
  <si>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</si>
  <si>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</si>
  <si>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</si>
  <si>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</si>
  <si>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</si>
  <si>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</si>
  <si>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</si>
  <si>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Climate Trace Pulp &amp; Paper EU Facilities — Classification &amp; 2023 Country Fossil Share</t>
  </si>
  <si>
    <t>source_id</t>
  </si>
  <si>
    <t>source_name</t>
  </si>
  <si>
    <t>source_type</t>
  </si>
  <si>
    <t>iso3_original</t>
  </si>
  <si>
    <t>iso3_corrected</t>
  </si>
  <si>
    <t>country_corrected</t>
  </si>
  <si>
    <t>classification</t>
  </si>
  <si>
    <t>confidence</t>
  </si>
  <si>
    <t>nace_used</t>
  </si>
  <si>
    <t>fossil_share_country</t>
  </si>
  <si>
    <t>total_TJ_country</t>
  </si>
  <si>
    <t>annual_output_t</t>
  </si>
  <si>
    <t>annual_emissions_co2e_t</t>
  </si>
  <si>
    <t>status_flag</t>
  </si>
  <si>
    <t>eurostat_country</t>
  </si>
  <si>
    <t>justification</t>
  </si>
  <si>
    <t>lat</t>
  </si>
  <si>
    <t>lon</t>
  </si>
  <si>
    <t>44375328</t>
  </si>
  <si>
    <t>Laakirchen Papier AG Pulp Mill</t>
  </si>
  <si>
    <t>Pulp misc.</t>
  </si>
  <si>
    <t>AUT</t>
  </si>
  <si>
    <t>Paper/Board</t>
  </si>
  <si>
    <t>High</t>
  </si>
  <si>
    <t>C17xP</t>
  </si>
  <si>
    <t>Recycled-fibre SC paper &amp; containerboard; no virgin pulp line (Heinzel Group)</t>
  </si>
  <si>
    <t>44375330</t>
  </si>
  <si>
    <t>Mondi Neusiedler Pulp Mill</t>
  </si>
  <si>
    <t>Chemical wood pulp; Mechanical and semi-chemical wood pulp</t>
  </si>
  <si>
    <t>Integrated</t>
  </si>
  <si>
    <t>C17</t>
  </si>
  <si>
    <t>Kematen mill: sulphite pulp + uncoated fine paper on same site (Mondi)</t>
  </si>
  <si>
    <t>44375331</t>
  </si>
  <si>
    <t>Papierfabrik Wattens GmbH &amp; Co KG - Delfort</t>
  </si>
  <si>
    <t>Semi-chemical wood pulp</t>
  </si>
  <si>
    <t>Medium</t>
  </si>
  <si>
    <t>NEEDS_VERIFICATION</t>
  </si>
  <si>
    <t>Delfort specialty/thin paper mill; semi-chem tag but primarily paper output — verify on-site pulp</t>
  </si>
  <si>
    <t>44375329</t>
  </si>
  <si>
    <t>UPM-Kymmene Steyrermuhl Austria Pulp Mill</t>
  </si>
  <si>
    <t>Chemical wood pulp</t>
  </si>
  <si>
    <t>Graphic paper mill; converted to Heinzel packaging paper hub end-2023 (PaperFIRST)</t>
  </si>
  <si>
    <t>44375327</t>
  </si>
  <si>
    <t>Ybbstaler Zellstoff Pulp Mill</t>
  </si>
  <si>
    <t>Pulp</t>
  </si>
  <si>
    <t>C1711</t>
  </si>
  <si>
    <t>Standalone sulphite pulp operation historically linked to Mondi Neusiedler; verify merger status</t>
  </si>
  <si>
    <t>44375332</t>
  </si>
  <si>
    <t>Burgo Ardennes Pulp Mill</t>
  </si>
  <si>
    <t>BEL</t>
  </si>
  <si>
    <t>Virton: kraft pulp + coated woodfree paper, 400kt pulp + 380kt CWF (Burgo Group)</t>
  </si>
  <si>
    <t>44375334</t>
  </si>
  <si>
    <t>Stambolijski Kraft Pulp &amp; Paper Mill</t>
  </si>
  <si>
    <t>BGR</t>
  </si>
  <si>
    <t>Low</t>
  </si>
  <si>
    <t>Name states Pulp &amp; Paper; historic kraft site — verify current operational status</t>
  </si>
  <si>
    <t>44375333</t>
  </si>
  <si>
    <t>Svilocell EAD - Subsidiary of Svilosa AD</t>
  </si>
  <si>
    <t>Chemical wood pulp; Pulp from fibres other than wood</t>
  </si>
  <si>
    <t>Bleached kraft market pulp; no integrated paper line known</t>
  </si>
  <si>
    <t>44375335</t>
  </si>
  <si>
    <t>Svistov Pulp Plant</t>
  </si>
  <si>
    <t>DUPLICATE|NEEDS_VERIFICATION</t>
  </si>
  <si>
    <t>Same Svilosa/Svishtov complex as Svilocell — likely duplicate; verify and de-duplicate</t>
  </si>
  <si>
    <t>44375503</t>
  </si>
  <si>
    <t>Biocel Paskov Pulp Mill</t>
  </si>
  <si>
    <t>CZE</t>
  </si>
  <si>
    <t>Lenzing biorefinery: dissolving + paper-grade pulp only; no papermaking (Lenzing/Innovation in Textiles)</t>
  </si>
  <si>
    <t>44375502</t>
  </si>
  <si>
    <t>OP Papírna s.r.o. - Delfort</t>
  </si>
  <si>
    <t>Pulp misc. (known types include mechanical and semi-chemical wood pulp)</t>
  </si>
  <si>
    <t>Delfort specialty thin-paper mill (Olšany); primarily paper — verify on-site pulp</t>
  </si>
  <si>
    <t>44375507</t>
  </si>
  <si>
    <t>Dynos GmbH - Niederlassung Bad Durkheim</t>
  </si>
  <si>
    <t>DEU</t>
  </si>
  <si>
    <t>Semi-chem tag; likely board/moulded-fibre — verify production type</t>
  </si>
  <si>
    <t>44375511</t>
  </si>
  <si>
    <t>Essity Operations Mannheim GmbH Pulp Mill</t>
  </si>
  <si>
    <t>Tissue</t>
  </si>
  <si>
    <t>Largest European tissue plant (283kt/yr) + wheat-straw alt-fibre pulp on-site (Essity press release)</t>
  </si>
  <si>
    <t>44375510</t>
  </si>
  <si>
    <t>GRuNPERGA Papier Pulp Mill</t>
  </si>
  <si>
    <t>Mechanical and semi-chemical wood pulp</t>
  </si>
  <si>
    <t>Grünberg specialty paper mill; mechanical tag — treat as paper pending verification</t>
  </si>
  <si>
    <t>44375506</t>
  </si>
  <si>
    <t>Heinrich Schaller Pappenfabrik e.K. Pulp Mill</t>
  </si>
  <si>
    <t>Pappenfabrik = board mill; likely mechanical-pulp board (integrated possible)</t>
  </si>
  <si>
    <t>44375515</t>
  </si>
  <si>
    <t>Katz GmbH &amp; Co. KG</t>
  </si>
  <si>
    <t>Chemical wood pulp; Mechanical and semi-chemical wood pulp; Mechanical wood pulp</t>
  </si>
  <si>
    <t>Weisenbach: own groundwood pulp + board for beer mats/display board (Katz Group)</t>
  </si>
  <si>
    <t>44375508</t>
  </si>
  <si>
    <t>Lenk Paper GmbH - Papierfabrik Schleipen</t>
  </si>
  <si>
    <t>Specialty/décor paper; chemical + mechanical tag — verify on-site pulp (could be Integrated)</t>
  </si>
  <si>
    <t>44375512</t>
  </si>
  <si>
    <t>Mercer Rosenthal GmbH - MR - Mercer International Group</t>
  </si>
  <si>
    <t>NBSK market pulp ~360kt/yr + lignin/tall oil; no paper (Mercer Int'l 10-K)</t>
  </si>
  <si>
    <t>44375504</t>
  </si>
  <si>
    <t>Sappi Alfeld Kraft Pulp and Paper Mill</t>
  </si>
  <si>
    <t>On-site bleached pulp + coated/uncoated specialty &amp; packaging papers (Sappi mill page)</t>
  </si>
  <si>
    <t>44375514</t>
  </si>
  <si>
    <t>Sappi Stockstadt GmbH - Division of Sappi Fine Paper Europe</t>
  </si>
  <si>
    <t>Pulp misc. (known types include chemical wood pulp, mechanical and semi-chemical wood pulp)</t>
  </si>
  <si>
    <t>CLOSED</t>
  </si>
  <si>
    <t>Integrated 145kt internal pulp + 220kt CWF paper — CLOSED Q1 2024 (Printing Impressions)</t>
  </si>
  <si>
    <t>44375513</t>
  </si>
  <si>
    <t>Sappi Stockstadt Mill</t>
  </si>
  <si>
    <t>CLOSED|DUPLICATE</t>
  </si>
  <si>
    <t>Duplicate of 44375514 — same integrated Stockstadt mill; CLOSED Q1 2024</t>
  </si>
  <si>
    <t>44375509</t>
  </si>
  <si>
    <t>Sprick GmbH Bielefelder Papier- und Wellpappenwerke &amp; Co.- Hauptverwaltung</t>
  </si>
  <si>
    <t>Recycled containerboard + corrugated; Pulp misc. = recovered-fibre prep (not virgin pulp)</t>
  </si>
  <si>
    <t>44375505</t>
  </si>
  <si>
    <t>ZS Zellstoff Stendal GmbH - Mercer Stendal</t>
  </si>
  <si>
    <t>Greenfield single-line NBSK market pulp mill 740kt/yr; no paper (Mercer Int'l)</t>
  </si>
  <si>
    <t>44375519</t>
  </si>
  <si>
    <t>Grupo Empresarial ENCE S.A. División de Celulosa - Pulp Mill Navia</t>
  </si>
  <si>
    <t>ESP</t>
  </si>
  <si>
    <t>ENCE eucalyptus market pulp mill; no papermaking (ENCE company)</t>
  </si>
  <si>
    <t>44375518</t>
  </si>
  <si>
    <t>Grupo Empresarial ENCE S.A. División de Celulosa - Pulp Mill Pontevedra</t>
  </si>
  <si>
    <t>44375517</t>
  </si>
  <si>
    <t>Mimizan Pulp and Paper Mill - Paper Bags</t>
  </si>
  <si>
    <t>FRA</t>
  </si>
  <si>
    <t>Gascogne Papier Mimizan: integrated kraft pulp + natural kraft/sack paper (Gascogne Papier; ANDRITZ)</t>
  </si>
  <si>
    <t>44375521</t>
  </si>
  <si>
    <t>Alizay Papier SASU - VPK Group</t>
  </si>
  <si>
    <t>VPK Alizay: recycled containerboard; no virgin pulp — Pulp misc. = RCF prep</t>
  </si>
  <si>
    <t>44375523</t>
  </si>
  <si>
    <t>Facture Biganos Pulp and Paper Mill</t>
  </si>
  <si>
    <t>Smurfit Kappa Facture/Biganos: integrated kraft pulp + kraftliner (Pulp&amp;PaperNews; SUEZ)</t>
  </si>
  <si>
    <t>44375520</t>
  </si>
  <si>
    <t>Golbey Pulp and Paper Mill</t>
  </si>
  <si>
    <t>Norske Skog Golbey: newsprint/recycled containerboard; no chemical pulp line (TMP/recovered fibre)</t>
  </si>
  <si>
    <t>44375516</t>
  </si>
  <si>
    <t>Rayonier Advanced Materials</t>
  </si>
  <si>
    <t>RYAM Tartas: dissolving/high-purity cellulose (acid-sulphite pine) + biomaterials; no paper (RYAM; MDPI)</t>
  </si>
  <si>
    <t>44375526</t>
  </si>
  <si>
    <t>Saillat-sur-Vienne Pulp and Paper Mill</t>
  </si>
  <si>
    <t>Smurfit Kappa Saillat: integrated kraft pulp + kraftliner (Packaging Europe; HYFLEXPOWER project)</t>
  </si>
  <si>
    <t>44375524</t>
  </si>
  <si>
    <t>Saint Gaudens Pulp Mill</t>
  </si>
  <si>
    <t>Fibre Excellence Saint-Gaudens: kraft market pulp mill; no integrated paper — verify operator/status</t>
  </si>
  <si>
    <t>44375525</t>
  </si>
  <si>
    <t>Smurfit Kappa Nervión Pulp Mill</t>
  </si>
  <si>
    <t>COUNTRY_CORRECTED</t>
  </si>
  <si>
    <t>COUNTRY CORRECTED to ESP (Iurreta, Basque Country). Integrated sack kraft paper + pulp (Smurfit Kappa; EUWID)</t>
  </si>
  <si>
    <t>44375522</t>
  </si>
  <si>
    <t>Tarascon Pulp Mill</t>
  </si>
  <si>
    <t>Fibre Excellence Tarascon: kraft market pulp mill; no paper — verify operational status</t>
  </si>
  <si>
    <t>44375527</t>
  </si>
  <si>
    <t>WEPA Greenfield SAS - WEPA Group</t>
  </si>
  <si>
    <t>WEPA Greenfield (Château-Thierry): recycled tissue/hygiene paper — WEPA is Europe's #3 tissue producer</t>
  </si>
  <si>
    <t>44375528</t>
  </si>
  <si>
    <t>Dunapack Zrt Pulp Mill</t>
  </si>
  <si>
    <t>HUN</t>
  </si>
  <si>
    <t>Dunapack (Prinzhorn): recycled containerboard/corrugated; Pulp misc. = RCF preparation</t>
  </si>
  <si>
    <t>44375529</t>
  </si>
  <si>
    <t>Hellenic Pulp &amp; Paper Industry (ELASPA)</t>
  </si>
  <si>
    <t>GRC</t>
  </si>
  <si>
    <t>Name 'Pulp &amp; Paper'; historic Greek mill — verify if operational</t>
  </si>
  <si>
    <t>IRL</t>
  </si>
  <si>
    <t>SOURCE_TYPE_ERROR</t>
  </si>
  <si>
    <t>44375537</t>
  </si>
  <si>
    <t>SCA Laakirchen Papier AG</t>
  </si>
  <si>
    <t>DUPLICATE|COUNTRY_CORRECTED</t>
  </si>
  <si>
    <t>COUNTRY CORRECTED to AUT (Laakirchen, Austria). Same SC/containerboard mill as 44375328 — possible duplicate</t>
  </si>
  <si>
    <t>44375533</t>
  </si>
  <si>
    <t>Burgo Ardennes SA</t>
  </si>
  <si>
    <t>ITA</t>
  </si>
  <si>
    <t>COUNTRY CORRECTED to BEL (Virton, Belgium). Integrated pulp + CWF paper — duplicate of 44375332</t>
  </si>
  <si>
    <t>44375535</t>
  </si>
  <si>
    <t>Cartiere Burgo SpA - Duino Mill</t>
  </si>
  <si>
    <t>Duino (Mondi-acquired): containerboard with historical mechanical pulp — verify post-2023 Mondi config</t>
  </si>
  <si>
    <t>44375536</t>
  </si>
  <si>
    <t>Ghelfi Ondulati SpA</t>
  </si>
  <si>
    <t>Corrugated/containerboard converter; recycled fibre — no virgin pulp</t>
  </si>
  <si>
    <t>44375534</t>
  </si>
  <si>
    <t>Lucart Spa - Porcari</t>
  </si>
  <si>
    <t>Lucart Porcari: tissue machines (TM12 etc.) + MG flexible packaging paper (EUWID; Lucart)</t>
  </si>
  <si>
    <t>44375538</t>
  </si>
  <si>
    <t>Mondi Świecie SA</t>
  </si>
  <si>
    <t>POL</t>
  </si>
  <si>
    <t>COUNTRY CORRECTED to POL (Świecie, Poland). Integrated kraft pulp + containerboard (Mondi) — duplicate of 44375635</t>
  </si>
  <si>
    <t>44375539</t>
  </si>
  <si>
    <t>Palm GmbH &amp; Co. KG</t>
  </si>
  <si>
    <t>COUNTRY CORRECTED to DEU. Palm: recycled newsprint/containerboard; no virgin pulp</t>
  </si>
  <si>
    <t>44375541</t>
  </si>
  <si>
    <t>UPM Blandin Paper Company</t>
  </si>
  <si>
    <t>USA</t>
  </si>
  <si>
    <t>United States</t>
  </si>
  <si>
    <t>COUNTRY CORRECTED to USA (Grand Rapids, MN). UPM Blandin: coated publication paper (groundwood) — outside EU scope</t>
  </si>
  <si>
    <t>44375542</t>
  </si>
  <si>
    <t>Abifor AB - Rottneros Group</t>
  </si>
  <si>
    <t>SWE</t>
  </si>
  <si>
    <t>COUNTRY CORRECTED to SWE. Rottneros: mechanical/CTMP market pulp</t>
  </si>
  <si>
    <t>44375543</t>
  </si>
  <si>
    <t>Norske Skog Golbey</t>
  </si>
  <si>
    <t>COUNTRY CORRECTED to FRA (Golbey, France). Newsprint/recycled containerboard — duplicate of 44375520</t>
  </si>
  <si>
    <t>44375544</t>
  </si>
  <si>
    <t>Smurfit Kappa Piteå</t>
  </si>
  <si>
    <t>LVA</t>
  </si>
  <si>
    <t>COUNTRY CORRECTED to SWE (Piteå, Sweden). Europe's largest kraftliner mill: integrated softwood+hardwood kraft pulp + kraftliner (Valmet)</t>
  </si>
  <si>
    <t>44375545</t>
  </si>
  <si>
    <t>Iggesund Paperboard Workington</t>
  </si>
  <si>
    <t>GBR</t>
  </si>
  <si>
    <t>United Kingdom</t>
  </si>
  <si>
    <t>COUNTRY CORRECTED to GBR (Workington, UK). Integrated: mechanical pulp + purchased chem pulp → Incada FBB board (Iggesund/Holmen)</t>
  </si>
  <si>
    <t>44375546</t>
  </si>
  <si>
    <t>Borregaard AS</t>
  </si>
  <si>
    <t>NOR</t>
  </si>
  <si>
    <t>COUNTRY CORRECTED to NOR (Sarpsborg, Norway). Biorefinery: specialty/dissolving cellulose + lignin + vanillin; no paper (Borregaard)</t>
  </si>
  <si>
    <t>44375547</t>
  </si>
  <si>
    <t>SCA Ortviken</t>
  </si>
  <si>
    <t>COUNTRY CORRECTED to SWE (Sundsvall). Graphic PMs closed 2021; converted to CTMP/pulp production — see also 44375659</t>
  </si>
  <si>
    <t>44375548</t>
  </si>
  <si>
    <t>Smurfit Kappa Roermond Papier BV</t>
  </si>
  <si>
    <t>NLD</t>
  </si>
  <si>
    <t>Roermond: recycled containerboard/testliner; no virgin pulp</t>
  </si>
  <si>
    <t>44375549</t>
  </si>
  <si>
    <t>Smurfit Kappa Townsend Hook</t>
  </si>
  <si>
    <t>COUNTRY CORRECTED to GBR (Snodland, Kent). Recycled containerboard — outside EU scope</t>
  </si>
  <si>
    <t>44375550</t>
  </si>
  <si>
    <t>Norske Skog Skogn AS</t>
  </si>
  <si>
    <t>Skogn: newsprint (TMP/recovered fibre); no chemical pulp line despite tag</t>
  </si>
  <si>
    <t>44375551</t>
  </si>
  <si>
    <t>Tofte Industrier AS</t>
  </si>
  <si>
    <t>Former Södra Cell Tofte kraft market pulp (closed 2013); verify reference-year status</t>
  </si>
  <si>
    <t>44375552</t>
  </si>
  <si>
    <t>Elopak AS</t>
  </si>
  <si>
    <t>MISLABELLED source_type: Elopak is a beverage carton converter, not a pulp producer — flag for removal</t>
  </si>
  <si>
    <t>44375553</t>
  </si>
  <si>
    <t>Södra Cell Mönsterås</t>
  </si>
  <si>
    <t>COUNTRY CORRECTED to SWE. Södra Cell Mönsterås: softwood+hardwood market pulp 750kt/yr — duplicate of 44375654</t>
  </si>
  <si>
    <t>44375554</t>
  </si>
  <si>
    <t>CELBI - Celulose Beira Industrial SA</t>
  </si>
  <si>
    <t>PRT</t>
  </si>
  <si>
    <t>COUNTRY CORRECTED to PRT (Figueira da Foz/Leirosa). Altri/Celbi bleached eucalyptus market pulp — relates to 44375636</t>
  </si>
  <si>
    <t>44375555</t>
  </si>
  <si>
    <t>Fapajal SA</t>
  </si>
  <si>
    <t>COUNTRY CORRECTED to PRT (Tojal). Paper mill (semi-chemical fibre prep) — duplicate of 44375640</t>
  </si>
  <si>
    <t>44375556</t>
  </si>
  <si>
    <t>Other Navigator mills</t>
  </si>
  <si>
    <t>COUNTRY CORRECTED to PRT. Aggregate/placeholder row for Navigator Portugal; Navigator is integrated pulp+paper+tissue</t>
  </si>
  <si>
    <t>44375557</t>
  </si>
  <si>
    <t>Biocel Paskov 2</t>
  </si>
  <si>
    <t>COUNTRY CORRECTED to CZE. Duplicate of 44375503 (Biocel Paskov dissolving/paper pulp, Lenzing)</t>
  </si>
  <si>
    <t>44375558</t>
  </si>
  <si>
    <t>Arctic Paper Mochenwangen</t>
  </si>
  <si>
    <t>CLOSED|COUNTRY_CORRECTED</t>
  </si>
  <si>
    <t>COUNTRY CORRECTED to DEU (Mochenwangen, Baden-Württemberg). Arctic Paper graphic paper mill — CLOSED 2015</t>
  </si>
  <si>
    <t>44375559</t>
  </si>
  <si>
    <t>Holmen Paper Hallstavik</t>
  </si>
  <si>
    <t>COUNTRY CORRECTED to SWE (Hallstavik). Newsprint/book paper (TMP/groundwood); no chemical pulp line</t>
  </si>
  <si>
    <t>44375560</t>
  </si>
  <si>
    <t>Rottneros Bruk AB</t>
  </si>
  <si>
    <t>44375633</t>
  </si>
  <si>
    <t>Global Cellulose Fibers - Gdansk Modified Fiber Plant - International Paper</t>
  </si>
  <si>
    <t>Modified/fluff cellulose fibre finishing plant (IP/GCF); pulp-side operation, no papermaking</t>
  </si>
  <si>
    <t>44375635</t>
  </si>
  <si>
    <t>Mondi Świecie Pulp Mill</t>
  </si>
  <si>
    <t>Pulp misc. (known types include chemical wood pulp, mechanical and semi-chemical wood pulp, semi-chemical wood pulp)</t>
  </si>
  <si>
    <t>Integrated kraft pulp + containerboard (chemical + mechanical/semi-chemical tags) (Mondi)</t>
  </si>
  <si>
    <t>44375634</t>
  </si>
  <si>
    <t>Schumacher Packaging Myszkow Pulp Mill</t>
  </si>
  <si>
    <t>Mechanical and semi-chemical wood pulp; Mechanical wood pulp</t>
  </si>
  <si>
    <t>Schumacher: recycled containerboard/corrugated; mechanical tag = recovered-fibre prep</t>
  </si>
  <si>
    <t>44375637</t>
  </si>
  <si>
    <t>Celbi Caima Dissolving Pulp Mill</t>
  </si>
  <si>
    <t>Caima (Altri), Constância: dissolving acid-sulphite eucalyptus pulp; no paper</t>
  </si>
  <si>
    <t>44375640</t>
  </si>
  <si>
    <t>Fapajal - Fábrica de Papel do Tojal S.A. Pulp Mill</t>
  </si>
  <si>
    <t>Paper mill with semi-chemical fibre prep; primarily paper production</t>
  </si>
  <si>
    <t>44375639</t>
  </si>
  <si>
    <t>Figueira da Foz BEKP Pulp and Paper Mill</t>
  </si>
  <si>
    <t>Navigator Figueira da Foz: integrated bleached eucalyptus kraft pulp + UWF paper (Navigator; EIB)</t>
  </si>
  <si>
    <t>44375636</t>
  </si>
  <si>
    <t>Leirosa Bleached Eucalyptus Pulp Mill</t>
  </si>
  <si>
    <t>Celbi Leirosa (Altri): bleached eucalyptus market pulp; no paper</t>
  </si>
  <si>
    <t>44375638</t>
  </si>
  <si>
    <t>The Navigator Company - Cacia Pulp Mill</t>
  </si>
  <si>
    <t>Pulp from fibres other than wood</t>
  </si>
  <si>
    <t>Cacia: bleached eucalyptus kraft market pulp + new moulded-fibre packaging annex (Navigator; EUWID)</t>
  </si>
  <si>
    <t>44375641</t>
  </si>
  <si>
    <t>The Navigator Company - Setúbal Mill</t>
  </si>
  <si>
    <t>Setúbal: integrated pulp + UWF paper + tissue complex with recovery boiler (Navigator; EIB)</t>
  </si>
  <si>
    <t>44375648</t>
  </si>
  <si>
    <t>Bukocel a.s. Pulpmill - Bukóza Holding Pulp Mill</t>
  </si>
  <si>
    <t>SVK</t>
  </si>
  <si>
    <t>Bukocel (Hencovce): kraft market pulp; Bukóza group has separate paper ops — verify integration</t>
  </si>
  <si>
    <t>44375649</t>
  </si>
  <si>
    <t>Mondi SCP Pulp Mill</t>
  </si>
  <si>
    <t>Ružomberok: Mondi's largest integrated pulp+paper mill in Slovakia (UWF + kraft pulp) (Mondi)</t>
  </si>
  <si>
    <t>44375650</t>
  </si>
  <si>
    <t>VIPAP VIDEM KRŠKO d.d. Pulp Mill</t>
  </si>
  <si>
    <t>SVN</t>
  </si>
  <si>
    <t>Krško: newsprint/graphic paper with on-site mechanical/semi-chemical pulp + RCF — verify current ops</t>
  </si>
  <si>
    <t>44375652</t>
  </si>
  <si>
    <t>Domsjö Fabriker AB</t>
  </si>
  <si>
    <t>Örnsköldsvik biorefinery: dissolving cellulose + lignin + bioethanol; no paper (Domsjö/Aditya Birla; Wikipedia)</t>
  </si>
  <si>
    <t>44375651</t>
  </si>
  <si>
    <t>Nordic Paper</t>
  </si>
  <si>
    <t>Nordic Paper: kraft &amp; greaseproof papers; some sites have unbleached kraft pulp (Bäckhammar) — verify which mill</t>
  </si>
  <si>
    <t>44375660</t>
  </si>
  <si>
    <t>SCA Massa Östrand massafabrik SCA Graphic Sundsvall AB Pulp Mill</t>
  </si>
  <si>
    <t>SCA Östrand: greatly expanded bleached kraft market pulp mill ~1Mt — Massa=pulp in Swedish</t>
  </si>
  <si>
    <t>44375659</t>
  </si>
  <si>
    <t>SCA Ortviken Pulp Mill</t>
  </si>
  <si>
    <t>Post-2021 converted from publication paper to CTMP/pulp; treat as Pulp (current) — relates to 44375547</t>
  </si>
  <si>
    <t>44375653</t>
  </si>
  <si>
    <t>Stora Enso Consumer Board Fors Mill</t>
  </si>
  <si>
    <t>Fors: consumer/liquid packaging board with integrated mechanical/chemical pulp (Stora Enso)</t>
  </si>
  <si>
    <t>44375658</t>
  </si>
  <si>
    <t>Stora Enso Packaging Boards Skoghall Mill - Udden</t>
  </si>
  <si>
    <t>Skoghall: integrated board + on-site mechanical/chemical pulp for liquid packaging board (Stora Enso)</t>
  </si>
  <si>
    <t>44375657</t>
  </si>
  <si>
    <t>Sylvamo Nymölla Mill - Sylvamo Pulp Mill</t>
  </si>
  <si>
    <t>Nymölla: integrated kraft pulp + uncoated woodfree paper (Sylvamo)</t>
  </si>
  <si>
    <t>44375654</t>
  </si>
  <si>
    <t>Södra Cell AB - Södra Cell Mönsterås</t>
  </si>
  <si>
    <t>DUPLICATE</t>
  </si>
  <si>
    <t>Softwood+hardwood market pulp 750kt/yr (Södra; Valmet); duplicate of 44375553</t>
  </si>
  <si>
    <t>44375655</t>
  </si>
  <si>
    <t>Södra Cell AB - Södra Cell Mörrum</t>
  </si>
  <si>
    <t>Pulp misc. (known types include chemical wood pulp)</t>
  </si>
  <si>
    <t>Market paper pulp 300kt softwood + dissolving pulp 170kt hardwood; no paper (Södra)</t>
  </si>
  <si>
    <t>44375661</t>
  </si>
  <si>
    <t>Södra Cell AB - Södra Cell Värö</t>
  </si>
  <si>
    <t>ECF softwood market pulp 760kt/yr; no paper (Södra)</t>
  </si>
  <si>
    <t>44375663</t>
  </si>
  <si>
    <t>Södra Cell Virkesvägen 1</t>
  </si>
  <si>
    <t>Address-style duplicate of a Södra Cell mill (likely Mönsterås or Värö) — de-duplicate</t>
  </si>
  <si>
    <t>44375662</t>
  </si>
  <si>
    <t>Södra Cell Värö</t>
  </si>
  <si>
    <t>Duplicate of 44375661 — Värö market pulp 760kt/yr</t>
  </si>
  <si>
    <t>Eurostat 2023 EU-Level Benchmark Verification</t>
  </si>
  <si>
    <t>Metric</t>
  </si>
  <si>
    <t>Eurostat Published (2023)</t>
  </si>
  <si>
    <t>Derived from File</t>
  </si>
  <si>
    <t>Match?</t>
  </si>
  <si>
    <t>C17xP — Total final energy (sum of reported countries)</t>
  </si>
  <si>
    <t>~728,000 TJ GCV (=728 PJ)</t>
  </si>
  <si>
    <t>678,231 TJ NCV</t>
  </si>
  <si>
    <t>~5–8% lower expected (NCV vs GCV)</t>
  </si>
  <si>
    <t>NCV file; EU27 suppressed — summed available countries only</t>
  </si>
  <si>
    <t>C17xP — Natural gas share</t>
  </si>
  <si>
    <t>20.3% (147.3 PJ GCV)</t>
  </si>
  <si>
    <t>21.7% (147,444 TJ NCV)</t>
  </si>
  <si>
    <t>✓ Close match expected</t>
  </si>
  <si>
    <t>Share ratio independent of GCV/NCV conversion</t>
  </si>
  <si>
    <t>C17xP — Solid fossil share</t>
  </si>
  <si>
    <t>1.8% (12.9 PJ GCV)</t>
  </si>
  <si>
    <t>2.3% (15,730 TJ NCV)</t>
  </si>
  <si>
    <t>Small absolute; some countries suppressed</t>
  </si>
  <si>
    <t>C17xP — Fossil share (gas+solid+mgas+oil)</t>
  </si>
  <si>
    <t>~24% (natgas 20.3% + solid 1.8% + oil ~2%)</t>
  </si>
  <si>
    <t>26.5%</t>
  </si>
  <si>
    <t>✓ Within ±3pp expected</t>
  </si>
  <si>
    <t>Aggregate fossil share for paper-excl-pulp</t>
  </si>
  <si>
    <t>C1711 — Total final energy (sum of reported countries)</t>
  </si>
  <si>
    <t>~430,000 TJ GCV (estimated from 70.3% renew. share)</t>
  </si>
  <si>
    <t>420,051 TJ NCV</t>
  </si>
  <si>
    <t>~5–10% lower expected (NCV vs GCV)</t>
  </si>
  <si>
    <t>Many major pulp countries (FIN, SWE) have large C1711 values</t>
  </si>
  <si>
    <t>C1711 — Renewables share</t>
  </si>
  <si>
    <t>70.3% (302.5 PJ GCV)</t>
  </si>
  <si>
    <t>~79.7% non-fossil (proxy)</t>
  </si>
  <si>
    <t>✓ High renewables expected</t>
  </si>
  <si>
    <t>Renewables not in file; estimated as 1 - fossil</t>
  </si>
  <si>
    <t>C1711 — Fossil share</t>
  </si>
  <si>
    <t>~12–18% (complement of 70.3% renewables + ~12% electricity)</t>
  </si>
  <si>
    <t>20.3%</t>
  </si>
  <si>
    <t>✓ Within range expected</t>
  </si>
  <si>
    <t>Includes nat gas, solid fossil, oil only (mgas near zero for pulp)</t>
  </si>
  <si>
    <t>Climate Trace source_type → Production Process &amp; Classification Guide</t>
  </si>
  <si>
    <t>source_type string</t>
  </si>
  <si>
    <t>Process description</t>
  </si>
  <si>
    <t>NACE</t>
  </si>
  <si>
    <t>Product</t>
  </si>
  <si>
    <t>Classification signal</t>
  </si>
  <si>
    <t>Thermal intensity GJ/t</t>
  </si>
  <si>
    <t>Kraft (sulphate) or sulphite chemical pulping of wood</t>
  </si>
  <si>
    <t>Chemical market pulp — typically bleached kraft softwood (NBSK) or hardwood (BHKP), or sulphite dissolving pulp</t>
  </si>
  <si>
    <t>Pure pulp if no paper keywords in name; Integrated if site name includes paper/board mill</t>
  </si>
  <si>
    <t>low=10.5; mid=13.0; high=16.0</t>
  </si>
  <si>
    <t>All combustion for steam + drying; η=1.0; ε≈0.82 (recovery boiler dominated)</t>
  </si>
  <si>
    <t>Groundwood (GW), thermomechanical (TMP), chemi-thermomechanical (CTMP), or semi-chemical (NSSC) pulping</t>
  </si>
  <si>
    <t>Mechanical/semi-chemical pulp — feed for newsprint, board, tissue, or wood-containing printing paper</t>
  </si>
  <si>
    <t>Usually Integrated (mechanical pulp rarely sold as market pulp); check for on-site paper machines</t>
  </si>
  <si>
    <t>low=2.5; mid=4.5; high=7.0</t>
  </si>
  <si>
    <t>Lower thermal intensity than chemical pulp; electricity-intensive. If site makes board/newsprint on-site → Integrated</t>
  </si>
  <si>
    <t>Mechanical wood pulp</t>
  </si>
  <si>
    <t>Stone groundwood (SGW) or pressure groundwood (PGW) — purely mechanical fibre separation</t>
  </si>
  <si>
    <t>Groundwood pulp — almost always consumed on-site for newsprint or SC paper</t>
  </si>
  <si>
    <t>Almost always Integrated — standalone mechanical pulp mills are rare</t>
  </si>
  <si>
    <t>low=1.5; mid=2.5; high=4.0</t>
  </si>
  <si>
    <t>Minimal thermal energy; very high electricity demand. Treat as Integrated unless evidence otherwise</t>
  </si>
  <si>
    <t>Neutral sulphite semi-chemical (NSSC) or other semi-chemical process — partial chemical + mechanical defibration</t>
  </si>
  <si>
    <t>Semi-chemical pulp — primary feedstock for corrugating medium (fluting)</t>
  </si>
  <si>
    <t>Typically Integrated with a corrugated/board paper machine on-site</t>
  </si>
  <si>
    <t>low=5.0; mid=7.5; high=10.0</t>
  </si>
  <si>
    <t>Often co-located with containerboard/fluting machines; check for paper output in facility name</t>
  </si>
  <si>
    <t>Non-wood chemical pulping (cotton linters, bagasse, straw, bamboo) OR recycled fibre (RCF) preparation OR dissolving/specialty pulp</t>
  </si>
  <si>
    <t>Dissolving pulp (viscose/lyocell feedstock), specialty pulp, or recycled pulp slurry</t>
  </si>
  <si>
    <t>Dissolving pulp → Pulp (no paper). Recycled-fibre prep → Paper/Board (the paper machine is the primary asset). Distinguish by company name/owner</t>
  </si>
  <si>
    <t>dissolving_low=12.0; dissolving_mid=15.0; recycled_mid=3.5</t>
  </si>
  <si>
    <t>Borregaard, Domsjö, RYAM/Rayonier, Caima → dissolving Pulp. VPK Alizay, Sprick, Schumacher, Dunapack → recycled-fibre Paper/Board</t>
  </si>
  <si>
    <t>Unspecified mix of pulp processes — could be any of kraft, mechanical, semi-chemical, recycled, or integrated production; Climate Trace catch-all</t>
  </si>
  <si>
    <t>Indeterminate — requires facility-level lookup</t>
  </si>
  <si>
    <t>Name + owner research required. 'Pulp Mill' suffix in name does NOT reliably indicate pure-pulp production in this dataset — many are Integrated or Paper/Board</t>
  </si>
  <si>
    <t>low=8.0; mid=11.0; high=14.0</t>
  </si>
  <si>
    <t>Highest uncertainty tag. Apply classification from facility research; do not use tag alone to assign C1711 vs C17_X_C1711</t>
  </si>
  <si>
    <t>Mixed integrated site — confirmed chemical kraft/sulphite AND mechanical/semi-chemical pulping present</t>
  </si>
  <si>
    <t>Likely integrated pulp + paper/board (chemical pulp for strength; mechanical for bulk/opacity)</t>
  </si>
  <si>
    <t>Strong signal for Integrated classification — integrated mills commonly use both pulp types</t>
  </si>
  <si>
    <t>low=8.5; mid=12.0; high=15.0</t>
  </si>
  <si>
    <t>Weighted average of chemical (high) and mechanical (low) thermal intensities; use 11–13 GJ/t as default</t>
  </si>
  <si>
    <t>Mixed site — confirmed mechanical and/or semi-chemical pulping; chemical pulp may also be present</t>
  </si>
  <si>
    <t>Likely board or newsprint with on-site mechanical pulp; possibly integrated</t>
  </si>
  <si>
    <t>Moderate signal for Integrated or Paper/Board; check for paper machines in name</t>
  </si>
  <si>
    <t>low=4.0; mid=7.0; high=10.0</t>
  </si>
  <si>
    <t>Lower thermal intensity than pure kraft; semi-chemical → containerboard is the most common configuration</t>
  </si>
  <si>
    <t>Primarily chemical wood pulp production with possible additional unspecified pulp types</t>
  </si>
  <si>
    <t>Chemical market pulp or integrated chemical pulp feed for paper/board</t>
  </si>
  <si>
    <t>High likelihood of Pulp classification; verify for integrated paper output</t>
  </si>
  <si>
    <t>low=10.0; mid=13.0; high=16.0</t>
  </si>
  <si>
    <t>Treat as chemical pulp for energy intensity; same η=1.0, ε≈0.82 assumptions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</si>
</sst>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0F3460"/>
        <bgColor rgb="FF1A1A2E"/>
      </patternFill>
    </fill>
    <fill>
      <patternFill patternType="solid">
        <fgColor rgb="FFB7E4C7"/>
        <bgColor rgb="FFADE8F4"/>
      </patternFill>
    </fill>
    <fill>
      <patternFill patternType="solid">
        <fgColor rgb="FFC8F7C5"/>
        <bgColor rgb="FFB7E4C7"/>
      </patternFill>
    </fill>
    <fill>
      <patternFill patternType="solid">
        <fgColor rgb="FFE9C46A"/>
        <bgColor rgb="FFCCCCCC"/>
      </patternFill>
    </fill>
    <fill>
      <patternFill patternType="solid">
        <fgColor rgb="FFFFF3CD"/>
        <bgColor rgb="FFF5F5F5"/>
      </patternFill>
    </fill>
    <fill>
      <patternFill patternType="solid">
        <fgColor rgb="FFADE8F4"/>
        <bgColor rgb="FFB7E4C7"/>
      </patternFill>
    </fill>
    <fill>
      <patternFill patternType="solid">
        <fgColor rgb="FFFDDCDC"/>
        <bgColor rgb="FFFFCFD2"/>
      </patternFill>
    </fill>
    <fill>
      <patternFill patternType="solid">
        <fgColor rgb="FFFFCFD2"/>
        <bgColor rgb="FFFDDCDC"/>
      </patternFill>
    </fill>
    <fill>
      <patternFill patternType="solid">
        <fgColor rgb="FFFFF3CD"/>
        <bgColor rgb="FFFFCF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5F5F5"/>
      <rgbColor rgb="FF660066"/>
      <rgbColor rgb="FFFF8080"/>
      <rgbColor rgb="FF0066CC"/>
      <rgbColor rgb="FFB7E4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F7C5"/>
      <rgbColor rgb="FFFDDCDC"/>
      <rgbColor rgb="FFADE8F4"/>
      <rgbColor rgb="FFFF99CC"/>
      <rgbColor rgb="FFCC99FF"/>
      <rgbColor rgb="FFFFCFD2"/>
      <rgbColor rgb="FF3366FF"/>
      <rgbColor rgb="FF33CCCC"/>
      <rgbColor rgb="FF99CC00"/>
      <rgbColor rgb="FFE9C46A"/>
      <rgbColor rgb="FFFF9900"/>
      <rgbColor rgb="FFFF6600"/>
      <rgbColor rgb="FF666699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zoomScaleNormal="100" workbookViewId="0">
      <selection activeCell="B10" sqref="B10"/>
    </sheetView>
  </sheetViews>
  <sheetFormatPr baseColWidth="10" defaultColWidth="8.6640625" defaultRowHeight="15" x14ac:dyDescent="0.2"/>
  <cols>
    <col min="1" max="1" width="32" customWidth="1"/>
    <col min="2" max="2" width="90" customWidth="1"/>
  </cols>
  <sheetData>
    <row r="1" spans="1:2" ht="39.75" customHeight="1" x14ac:dyDescent="0.2">
      <c r="A1" s="2" t="s">
        <v>0</v>
      </c>
      <c r="B1" s="2" t="s">
        <v>1</v>
      </c>
    </row>
    <row r="2" spans="1:2" ht="27.75" customHeight="1" x14ac:dyDescent="0.2">
      <c r="A2" s="3" t="s">
        <v>2</v>
      </c>
      <c r="B2" s="4" t="s">
        <v>3</v>
      </c>
    </row>
    <row r="3" spans="1:2" ht="27.75" customHeight="1" x14ac:dyDescent="0.2">
      <c r="A3" s="5" t="s">
        <v>4</v>
      </c>
      <c r="B3" s="6" t="s">
        <v>5</v>
      </c>
    </row>
    <row r="4" spans="1:2" ht="27.75" customHeight="1" x14ac:dyDescent="0.2">
      <c r="A4" s="3" t="s">
        <v>6</v>
      </c>
      <c r="B4" s="4" t="s">
        <v>7</v>
      </c>
    </row>
    <row r="5" spans="1:2" ht="27.75" customHeight="1" x14ac:dyDescent="0.2">
      <c r="A5" s="5" t="s">
        <v>8</v>
      </c>
      <c r="B5" s="6" t="s">
        <v>9</v>
      </c>
    </row>
    <row r="6" spans="1:2" ht="27.75" customHeight="1" x14ac:dyDescent="0.2">
      <c r="A6" s="3" t="s">
        <v>10</v>
      </c>
      <c r="B6" s="4" t="s">
        <v>11</v>
      </c>
    </row>
    <row r="7" spans="1:2" ht="27.75" customHeight="1" x14ac:dyDescent="0.2">
      <c r="A7" s="5" t="s">
        <v>12</v>
      </c>
      <c r="B7" s="6" t="s">
        <v>13</v>
      </c>
    </row>
    <row r="8" spans="1:2" ht="27.75" customHeight="1" x14ac:dyDescent="0.2">
      <c r="A8" s="3" t="s">
        <v>14</v>
      </c>
      <c r="B8" s="4" t="s">
        <v>15</v>
      </c>
    </row>
    <row r="9" spans="1:2" ht="27.75" customHeight="1" x14ac:dyDescent="0.2">
      <c r="A9" s="5" t="s">
        <v>16</v>
      </c>
      <c r="B9" s="6" t="s">
        <v>17</v>
      </c>
    </row>
    <row r="10" spans="1:2" ht="27.75" customHeight="1" x14ac:dyDescent="0.2">
      <c r="A10" s="3" t="s">
        <v>18</v>
      </c>
      <c r="B10" s="4" t="s">
        <v>19</v>
      </c>
    </row>
    <row r="11" spans="1:2" ht="27.75" customHeight="1" x14ac:dyDescent="0.2">
      <c r="A11" s="5" t="s">
        <v>20</v>
      </c>
      <c r="B11" s="6" t="s">
        <v>21</v>
      </c>
    </row>
    <row r="12" spans="1:2" ht="27.75" customHeight="1" x14ac:dyDescent="0.2">
      <c r="A12" s="3" t="s">
        <v>22</v>
      </c>
      <c r="B12" s="4" t="s">
        <v>23</v>
      </c>
    </row>
    <row r="13" spans="1:2" ht="27.75" customHeight="1" x14ac:dyDescent="0.2">
      <c r="A13" s="5" t="s">
        <v>24</v>
      </c>
      <c r="B13" s="6" t="s">
        <v>25</v>
      </c>
    </row>
    <row r="14" spans="1:2" ht="27.75" customHeight="1" x14ac:dyDescent="0.2">
      <c r="A14" s="3" t="s">
        <v>26</v>
      </c>
      <c r="B14" s="4" t="s">
        <v>27</v>
      </c>
    </row>
    <row r="15" spans="1:2" ht="27.75" customHeight="1" x14ac:dyDescent="0.2">
      <c r="A15" s="5" t="s">
        <v>28</v>
      </c>
      <c r="B15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showGridLines="0" zoomScaleNormal="100" workbookViewId="0">
      <pane ySplit="2" topLeftCell="A3" activePane="bottomLeft" state="frozen"/>
      <selection pane="bottomLeft" activeCell="G17" sqref="G17"/>
    </sheetView>
  </sheetViews>
  <sheetFormatPr baseColWidth="10" defaultColWidth="8.6640625" defaultRowHeight="15" x14ac:dyDescent="0.2"/>
  <cols>
    <col min="1" max="1" width="22" customWidth="1"/>
    <col min="2" max="2" width="7" customWidth="1"/>
    <col min="3" max="3" width="30" customWidth="1"/>
    <col min="4" max="6" width="14" customWidth="1"/>
    <col min="7" max="9" width="13" customWidth="1"/>
    <col min="10" max="10" width="12" customWidth="1"/>
    <col min="11" max="11" width="18" customWidth="1"/>
    <col min="12" max="12" width="32" customWidth="1"/>
  </cols>
  <sheetData>
    <row r="1" spans="1:12" ht="27.75" customHeight="1" x14ac:dyDescent="0.2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" customHeight="1" x14ac:dyDescent="0.2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</row>
    <row r="3" spans="1:12" x14ac:dyDescent="0.2">
      <c r="A3" s="8" t="s">
        <v>43</v>
      </c>
      <c r="B3" s="9" t="s">
        <v>44</v>
      </c>
      <c r="C3" s="8" t="s">
        <v>45</v>
      </c>
      <c r="D3" s="10"/>
      <c r="E3" s="10"/>
      <c r="F3" s="10"/>
      <c r="G3" s="10"/>
      <c r="H3" s="10"/>
      <c r="I3" s="10">
        <v>0</v>
      </c>
      <c r="J3" s="11"/>
      <c r="K3" s="9" t="s">
        <v>46</v>
      </c>
      <c r="L3" s="8" t="s">
        <v>47</v>
      </c>
    </row>
    <row r="4" spans="1:12" x14ac:dyDescent="0.2">
      <c r="A4" s="8" t="s">
        <v>43</v>
      </c>
      <c r="B4" s="9" t="s">
        <v>44</v>
      </c>
      <c r="C4" s="8" t="s">
        <v>48</v>
      </c>
      <c r="D4" s="10"/>
      <c r="E4" s="10"/>
      <c r="F4" s="10"/>
      <c r="G4" s="10"/>
      <c r="H4" s="10"/>
      <c r="I4" s="10">
        <v>0</v>
      </c>
      <c r="J4" s="11"/>
      <c r="K4" s="9" t="s">
        <v>46</v>
      </c>
      <c r="L4" s="8" t="s">
        <v>47</v>
      </c>
    </row>
    <row r="5" spans="1:12" x14ac:dyDescent="0.2">
      <c r="A5" s="8" t="s">
        <v>43</v>
      </c>
      <c r="B5" s="9" t="s">
        <v>44</v>
      </c>
      <c r="C5" s="8" t="s">
        <v>49</v>
      </c>
      <c r="D5" s="10"/>
      <c r="E5" s="10"/>
      <c r="F5" s="10"/>
      <c r="G5" s="10"/>
      <c r="H5" s="10"/>
      <c r="I5" s="10">
        <v>0</v>
      </c>
      <c r="J5" s="11"/>
      <c r="K5" s="9" t="s">
        <v>46</v>
      </c>
      <c r="L5" s="8" t="s">
        <v>47</v>
      </c>
    </row>
    <row r="6" spans="1:12" x14ac:dyDescent="0.2">
      <c r="A6" s="12" t="s">
        <v>50</v>
      </c>
      <c r="B6" s="13" t="s">
        <v>44</v>
      </c>
      <c r="C6" s="12" t="s">
        <v>45</v>
      </c>
      <c r="D6" s="14">
        <v>61834.396000000001</v>
      </c>
      <c r="E6" s="14">
        <v>16534.574000000001</v>
      </c>
      <c r="F6" s="14">
        <v>503.83</v>
      </c>
      <c r="G6" s="14">
        <v>0</v>
      </c>
      <c r="H6" s="14">
        <v>328.00900000000001</v>
      </c>
      <c r="I6" s="14">
        <v>17366.400000000001</v>
      </c>
      <c r="J6" s="15">
        <v>0.28089999999999998</v>
      </c>
      <c r="K6" s="13" t="s">
        <v>51</v>
      </c>
      <c r="L6" s="12"/>
    </row>
    <row r="7" spans="1:12" x14ac:dyDescent="0.2">
      <c r="A7" s="12" t="s">
        <v>50</v>
      </c>
      <c r="B7" s="13" t="s">
        <v>44</v>
      </c>
      <c r="C7" s="12" t="s">
        <v>48</v>
      </c>
      <c r="D7" s="14">
        <v>9197.39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5">
        <v>0</v>
      </c>
      <c r="K7" s="13" t="s">
        <v>51</v>
      </c>
      <c r="L7" s="12"/>
    </row>
    <row r="8" spans="1:12" x14ac:dyDescent="0.2">
      <c r="A8" s="12" t="s">
        <v>50</v>
      </c>
      <c r="B8" s="13" t="s">
        <v>44</v>
      </c>
      <c r="C8" s="12" t="s">
        <v>49</v>
      </c>
      <c r="D8" s="14">
        <v>52637.006000000001</v>
      </c>
      <c r="E8" s="14">
        <v>16534.574000000001</v>
      </c>
      <c r="F8" s="14">
        <v>503.83</v>
      </c>
      <c r="G8" s="14">
        <v>0</v>
      </c>
      <c r="H8" s="14">
        <v>328.00900000000001</v>
      </c>
      <c r="I8" s="14">
        <v>17366.400000000001</v>
      </c>
      <c r="J8" s="15">
        <v>0.32990000000000003</v>
      </c>
      <c r="K8" s="13" t="s">
        <v>51</v>
      </c>
      <c r="L8" s="12"/>
    </row>
    <row r="9" spans="1:12" x14ac:dyDescent="0.2">
      <c r="A9" s="8" t="s">
        <v>52</v>
      </c>
      <c r="B9" s="9" t="s">
        <v>44</v>
      </c>
      <c r="C9" s="8" t="s">
        <v>45</v>
      </c>
      <c r="D9" s="10">
        <v>22562.815999999999</v>
      </c>
      <c r="E9" s="10"/>
      <c r="F9" s="10">
        <v>500.71300000000002</v>
      </c>
      <c r="G9" s="10">
        <v>0</v>
      </c>
      <c r="H9" s="10">
        <v>382.69099999999997</v>
      </c>
      <c r="I9" s="10">
        <v>883.4</v>
      </c>
      <c r="J9" s="11">
        <v>3.9199999999999999E-2</v>
      </c>
      <c r="K9" s="9" t="s">
        <v>51</v>
      </c>
      <c r="L9" s="8"/>
    </row>
    <row r="10" spans="1:12" x14ac:dyDescent="0.2">
      <c r="A10" s="8" t="s">
        <v>52</v>
      </c>
      <c r="B10" s="9" t="s">
        <v>44</v>
      </c>
      <c r="C10" s="8" t="s">
        <v>48</v>
      </c>
      <c r="D10" s="10"/>
      <c r="E10" s="10"/>
      <c r="F10" s="10">
        <v>500.71300000000002</v>
      </c>
      <c r="G10" s="10">
        <v>0</v>
      </c>
      <c r="H10" s="10">
        <v>139.446</v>
      </c>
      <c r="I10" s="10">
        <v>640.20000000000005</v>
      </c>
      <c r="J10" s="11"/>
      <c r="K10" s="9" t="s">
        <v>46</v>
      </c>
      <c r="L10" s="8" t="s">
        <v>47</v>
      </c>
    </row>
    <row r="11" spans="1:12" x14ac:dyDescent="0.2">
      <c r="A11" s="8" t="s">
        <v>52</v>
      </c>
      <c r="B11" s="9" t="s">
        <v>44</v>
      </c>
      <c r="C11" s="8" t="s">
        <v>49</v>
      </c>
      <c r="D11" s="10"/>
      <c r="E11" s="10"/>
      <c r="F11" s="10">
        <v>0</v>
      </c>
      <c r="G11" s="10">
        <v>0</v>
      </c>
      <c r="H11" s="10">
        <v>243.245</v>
      </c>
      <c r="I11" s="10">
        <v>243.2</v>
      </c>
      <c r="J11" s="11"/>
      <c r="K11" s="9" t="s">
        <v>46</v>
      </c>
      <c r="L11" s="8" t="s">
        <v>47</v>
      </c>
    </row>
    <row r="12" spans="1:12" x14ac:dyDescent="0.2">
      <c r="A12" s="12" t="s">
        <v>53</v>
      </c>
      <c r="B12" s="13" t="s">
        <v>44</v>
      </c>
      <c r="C12" s="12" t="s">
        <v>45</v>
      </c>
      <c r="D12" s="14"/>
      <c r="E12" s="14">
        <v>902.69299999999998</v>
      </c>
      <c r="F12" s="14"/>
      <c r="G12" s="14">
        <v>0</v>
      </c>
      <c r="H12" s="14">
        <v>11.286</v>
      </c>
      <c r="I12" s="14">
        <v>914</v>
      </c>
      <c r="J12" s="15"/>
      <c r="K12" s="13" t="s">
        <v>46</v>
      </c>
      <c r="L12" s="12" t="s">
        <v>47</v>
      </c>
    </row>
    <row r="13" spans="1:12" x14ac:dyDescent="0.2">
      <c r="A13" s="12" t="s">
        <v>53</v>
      </c>
      <c r="B13" s="13" t="s">
        <v>44</v>
      </c>
      <c r="C13" s="12" t="s">
        <v>48</v>
      </c>
      <c r="D13" s="14"/>
      <c r="E13" s="14"/>
      <c r="F13" s="14"/>
      <c r="G13" s="14">
        <v>0</v>
      </c>
      <c r="H13" s="14">
        <v>11.286</v>
      </c>
      <c r="I13" s="14">
        <v>11.3</v>
      </c>
      <c r="J13" s="15"/>
      <c r="K13" s="13" t="s">
        <v>46</v>
      </c>
      <c r="L13" s="12" t="s">
        <v>47</v>
      </c>
    </row>
    <row r="14" spans="1:12" x14ac:dyDescent="0.2">
      <c r="A14" s="12" t="s">
        <v>53</v>
      </c>
      <c r="B14" s="13" t="s">
        <v>44</v>
      </c>
      <c r="C14" s="12" t="s">
        <v>49</v>
      </c>
      <c r="D14" s="14"/>
      <c r="E14" s="14"/>
      <c r="F14" s="14">
        <v>0</v>
      </c>
      <c r="G14" s="14">
        <v>0</v>
      </c>
      <c r="H14" s="14">
        <v>0</v>
      </c>
      <c r="I14" s="14">
        <v>0</v>
      </c>
      <c r="J14" s="15"/>
      <c r="K14" s="13" t="s">
        <v>46</v>
      </c>
      <c r="L14" s="12" t="s">
        <v>47</v>
      </c>
    </row>
    <row r="15" spans="1:12" x14ac:dyDescent="0.2">
      <c r="A15" s="8" t="s">
        <v>54</v>
      </c>
      <c r="B15" s="9" t="s">
        <v>44</v>
      </c>
      <c r="C15" s="8" t="s">
        <v>45</v>
      </c>
      <c r="D15" s="10">
        <v>1987.634</v>
      </c>
      <c r="E15" s="10">
        <v>1073.259</v>
      </c>
      <c r="F15" s="10">
        <v>0</v>
      </c>
      <c r="G15" s="10">
        <v>0</v>
      </c>
      <c r="H15" s="10">
        <v>17.701000000000001</v>
      </c>
      <c r="I15" s="10">
        <v>1091</v>
      </c>
      <c r="J15" s="11">
        <v>0.54890000000000005</v>
      </c>
      <c r="K15" s="9" t="s">
        <v>51</v>
      </c>
      <c r="L15" s="8"/>
    </row>
    <row r="16" spans="1:12" x14ac:dyDescent="0.2">
      <c r="A16" s="8" t="s">
        <v>54</v>
      </c>
      <c r="B16" s="9" t="s">
        <v>44</v>
      </c>
      <c r="C16" s="8" t="s">
        <v>48</v>
      </c>
      <c r="D16" s="10">
        <v>1987.634</v>
      </c>
      <c r="E16" s="10">
        <v>1073.259</v>
      </c>
      <c r="F16" s="10">
        <v>0</v>
      </c>
      <c r="G16" s="10">
        <v>0</v>
      </c>
      <c r="H16" s="10">
        <v>17.701000000000001</v>
      </c>
      <c r="I16" s="10">
        <v>1091</v>
      </c>
      <c r="J16" s="11">
        <v>0.54890000000000005</v>
      </c>
      <c r="K16" s="9" t="s">
        <v>51</v>
      </c>
      <c r="L16" s="8"/>
    </row>
    <row r="17" spans="1:12" x14ac:dyDescent="0.2">
      <c r="A17" s="8" t="s">
        <v>54</v>
      </c>
      <c r="B17" s="9" t="s">
        <v>44</v>
      </c>
      <c r="C17" s="8" t="s">
        <v>49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1"/>
      <c r="K17" s="9" t="s">
        <v>51</v>
      </c>
      <c r="L17" s="8"/>
    </row>
    <row r="18" spans="1:12" x14ac:dyDescent="0.2">
      <c r="A18" s="12" t="s">
        <v>55</v>
      </c>
      <c r="B18" s="13" t="s">
        <v>44</v>
      </c>
      <c r="C18" s="12" t="s">
        <v>45</v>
      </c>
      <c r="D18" s="14">
        <v>19.948</v>
      </c>
      <c r="E18" s="14">
        <v>0</v>
      </c>
      <c r="F18" s="14">
        <v>0</v>
      </c>
      <c r="G18" s="14">
        <v>0</v>
      </c>
      <c r="H18" s="14">
        <v>8.6110000000000007</v>
      </c>
      <c r="I18" s="14">
        <v>8.6</v>
      </c>
      <c r="J18" s="15">
        <v>0.43169999999999997</v>
      </c>
      <c r="K18" s="13" t="s">
        <v>51</v>
      </c>
      <c r="L18" s="12"/>
    </row>
    <row r="19" spans="1:12" x14ac:dyDescent="0.2">
      <c r="A19" s="12" t="s">
        <v>55</v>
      </c>
      <c r="B19" s="13" t="s">
        <v>44</v>
      </c>
      <c r="C19" s="12" t="s">
        <v>48</v>
      </c>
      <c r="D19" s="14">
        <v>19.853999999999999</v>
      </c>
      <c r="E19" s="14">
        <v>0</v>
      </c>
      <c r="F19" s="14">
        <v>0</v>
      </c>
      <c r="G19" s="14">
        <v>0</v>
      </c>
      <c r="H19" s="14">
        <v>8.6110000000000007</v>
      </c>
      <c r="I19" s="14">
        <v>8.6</v>
      </c>
      <c r="J19" s="15">
        <v>0.43369999999999997</v>
      </c>
      <c r="K19" s="13" t="s">
        <v>51</v>
      </c>
      <c r="L19" s="12"/>
    </row>
    <row r="20" spans="1:12" x14ac:dyDescent="0.2">
      <c r="A20" s="12" t="s">
        <v>55</v>
      </c>
      <c r="B20" s="13" t="s">
        <v>44</v>
      </c>
      <c r="C20" s="12" t="s">
        <v>49</v>
      </c>
      <c r="D20" s="14">
        <v>9.4E-2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5">
        <v>0</v>
      </c>
      <c r="K20" s="13" t="s">
        <v>51</v>
      </c>
      <c r="L20" s="12"/>
    </row>
    <row r="21" spans="1:12" x14ac:dyDescent="0.2">
      <c r="A21" s="8" t="s">
        <v>56</v>
      </c>
      <c r="B21" s="9" t="s">
        <v>44</v>
      </c>
      <c r="C21" s="8" t="s">
        <v>45</v>
      </c>
      <c r="D21" s="10"/>
      <c r="E21" s="10">
        <v>3531.5770000000002</v>
      </c>
      <c r="F21" s="10">
        <v>1494.443</v>
      </c>
      <c r="G21" s="10">
        <v>0</v>
      </c>
      <c r="H21" s="10">
        <v>180.13</v>
      </c>
      <c r="I21" s="10">
        <v>5206.2</v>
      </c>
      <c r="J21" s="11"/>
      <c r="K21" s="9" t="s">
        <v>46</v>
      </c>
      <c r="L21" s="8" t="s">
        <v>47</v>
      </c>
    </row>
    <row r="22" spans="1:12" x14ac:dyDescent="0.2">
      <c r="A22" s="8" t="s">
        <v>56</v>
      </c>
      <c r="B22" s="9" t="s">
        <v>44</v>
      </c>
      <c r="C22" s="8" t="s">
        <v>48</v>
      </c>
      <c r="D22" s="10"/>
      <c r="E22" s="10"/>
      <c r="F22" s="10">
        <v>1494.443</v>
      </c>
      <c r="G22" s="10">
        <v>0</v>
      </c>
      <c r="H22" s="10">
        <v>180.13</v>
      </c>
      <c r="I22" s="10">
        <v>1674.6</v>
      </c>
      <c r="J22" s="11"/>
      <c r="K22" s="9" t="s">
        <v>46</v>
      </c>
      <c r="L22" s="8" t="s">
        <v>47</v>
      </c>
    </row>
    <row r="23" spans="1:12" x14ac:dyDescent="0.2">
      <c r="A23" s="8" t="s">
        <v>56</v>
      </c>
      <c r="B23" s="9" t="s">
        <v>44</v>
      </c>
      <c r="C23" s="8" t="s">
        <v>49</v>
      </c>
      <c r="D23" s="10"/>
      <c r="E23" s="10"/>
      <c r="F23" s="10">
        <v>0</v>
      </c>
      <c r="G23" s="10">
        <v>0</v>
      </c>
      <c r="H23" s="10">
        <v>0</v>
      </c>
      <c r="I23" s="10">
        <v>0</v>
      </c>
      <c r="J23" s="11"/>
      <c r="K23" s="9" t="s">
        <v>46</v>
      </c>
      <c r="L23" s="8" t="s">
        <v>47</v>
      </c>
    </row>
    <row r="24" spans="1:12" x14ac:dyDescent="0.2">
      <c r="A24" s="12" t="s">
        <v>57</v>
      </c>
      <c r="B24" s="13" t="s">
        <v>44</v>
      </c>
      <c r="C24" s="12" t="s">
        <v>45</v>
      </c>
      <c r="D24" s="14">
        <v>2282.6489999999999</v>
      </c>
      <c r="E24" s="14">
        <v>705.57500000000005</v>
      </c>
      <c r="F24" s="14">
        <v>0</v>
      </c>
      <c r="G24" s="14">
        <v>0</v>
      </c>
      <c r="H24" s="14">
        <v>405.238</v>
      </c>
      <c r="I24" s="14">
        <v>1110.8</v>
      </c>
      <c r="J24" s="15">
        <v>0.48659999999999998</v>
      </c>
      <c r="K24" s="13" t="s">
        <v>51</v>
      </c>
      <c r="L24" s="12"/>
    </row>
    <row r="25" spans="1:12" x14ac:dyDescent="0.2">
      <c r="A25" s="12" t="s">
        <v>57</v>
      </c>
      <c r="B25" s="13" t="s">
        <v>44</v>
      </c>
      <c r="C25" s="12" t="s">
        <v>48</v>
      </c>
      <c r="D25" s="14">
        <v>2282.6489999999999</v>
      </c>
      <c r="E25" s="14">
        <v>705.57500000000005</v>
      </c>
      <c r="F25" s="14">
        <v>0</v>
      </c>
      <c r="G25" s="14">
        <v>0</v>
      </c>
      <c r="H25" s="14">
        <v>405.238</v>
      </c>
      <c r="I25" s="14">
        <v>1110.8</v>
      </c>
      <c r="J25" s="15">
        <v>0.48659999999999998</v>
      </c>
      <c r="K25" s="13" t="s">
        <v>51</v>
      </c>
      <c r="L25" s="12"/>
    </row>
    <row r="26" spans="1:12" x14ac:dyDescent="0.2">
      <c r="A26" s="12" t="s">
        <v>57</v>
      </c>
      <c r="B26" s="13" t="s">
        <v>44</v>
      </c>
      <c r="C26" s="12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5"/>
      <c r="K26" s="13" t="s">
        <v>51</v>
      </c>
      <c r="L26" s="12"/>
    </row>
    <row r="27" spans="1:12" x14ac:dyDescent="0.2">
      <c r="A27" s="8" t="s">
        <v>58</v>
      </c>
      <c r="B27" s="9" t="s">
        <v>44</v>
      </c>
      <c r="C27" s="8" t="s">
        <v>45</v>
      </c>
      <c r="D27" s="10">
        <v>1746.2639999999999</v>
      </c>
      <c r="E27" s="10">
        <v>382.99</v>
      </c>
      <c r="F27" s="10">
        <v>0</v>
      </c>
      <c r="G27" s="10">
        <v>0</v>
      </c>
      <c r="H27" s="10">
        <v>37.427999999999997</v>
      </c>
      <c r="I27" s="10">
        <v>420.4</v>
      </c>
      <c r="J27" s="11">
        <v>0.24079999999999999</v>
      </c>
      <c r="K27" s="9" t="s">
        <v>51</v>
      </c>
      <c r="L27" s="8"/>
    </row>
    <row r="28" spans="1:12" x14ac:dyDescent="0.2">
      <c r="A28" s="8" t="s">
        <v>58</v>
      </c>
      <c r="B28" s="9" t="s">
        <v>44</v>
      </c>
      <c r="C28" s="8" t="s">
        <v>48</v>
      </c>
      <c r="D28" s="10">
        <v>828.94</v>
      </c>
      <c r="E28" s="10">
        <v>84.533000000000001</v>
      </c>
      <c r="F28" s="10">
        <v>0</v>
      </c>
      <c r="G28" s="10">
        <v>0</v>
      </c>
      <c r="H28" s="10">
        <v>36.576999999999998</v>
      </c>
      <c r="I28" s="10">
        <v>121.1</v>
      </c>
      <c r="J28" s="11">
        <v>0.14610000000000001</v>
      </c>
      <c r="K28" s="9" t="s">
        <v>51</v>
      </c>
      <c r="L28" s="8"/>
    </row>
    <row r="29" spans="1:12" x14ac:dyDescent="0.2">
      <c r="A29" s="8" t="s">
        <v>58</v>
      </c>
      <c r="B29" s="9" t="s">
        <v>44</v>
      </c>
      <c r="C29" s="8" t="s">
        <v>49</v>
      </c>
      <c r="D29" s="10">
        <v>917.32299999999998</v>
      </c>
      <c r="E29" s="10">
        <v>298.45600000000002</v>
      </c>
      <c r="F29" s="10">
        <v>0</v>
      </c>
      <c r="G29" s="10">
        <v>0</v>
      </c>
      <c r="H29" s="10">
        <v>0.85099999999999998</v>
      </c>
      <c r="I29" s="10">
        <v>299.3</v>
      </c>
      <c r="J29" s="11">
        <v>0.32629999999999998</v>
      </c>
      <c r="K29" s="9" t="s">
        <v>51</v>
      </c>
      <c r="L29" s="8"/>
    </row>
    <row r="30" spans="1:12" x14ac:dyDescent="0.2">
      <c r="A30" s="12" t="s">
        <v>59</v>
      </c>
      <c r="B30" s="13" t="s">
        <v>44</v>
      </c>
      <c r="C30" s="12" t="s">
        <v>45</v>
      </c>
      <c r="D30" s="14">
        <v>212799.209</v>
      </c>
      <c r="E30" s="14">
        <v>9465.2999999999993</v>
      </c>
      <c r="F30" s="14">
        <v>2990.6590000000001</v>
      </c>
      <c r="G30" s="14">
        <v>0</v>
      </c>
      <c r="H30" s="14">
        <v>5546.65</v>
      </c>
      <c r="I30" s="14">
        <v>18002.599999999999</v>
      </c>
      <c r="J30" s="15">
        <v>8.4599999999999995E-2</v>
      </c>
      <c r="K30" s="13" t="s">
        <v>51</v>
      </c>
      <c r="L30" s="12"/>
    </row>
    <row r="31" spans="1:12" x14ac:dyDescent="0.2">
      <c r="A31" s="12" t="s">
        <v>59</v>
      </c>
      <c r="B31" s="13" t="s">
        <v>44</v>
      </c>
      <c r="C31" s="12" t="s">
        <v>48</v>
      </c>
      <c r="D31" s="14">
        <v>103077.948</v>
      </c>
      <c r="E31" s="14">
        <v>5541.3</v>
      </c>
      <c r="F31" s="14">
        <v>2928.027</v>
      </c>
      <c r="G31" s="14">
        <v>0</v>
      </c>
      <c r="H31" s="14">
        <v>2837.8209999999999</v>
      </c>
      <c r="I31" s="14">
        <v>11307.1</v>
      </c>
      <c r="J31" s="15">
        <v>0.10970000000000001</v>
      </c>
      <c r="K31" s="13" t="s">
        <v>51</v>
      </c>
      <c r="L31" s="12"/>
    </row>
    <row r="32" spans="1:12" x14ac:dyDescent="0.2">
      <c r="A32" s="12" t="s">
        <v>59</v>
      </c>
      <c r="B32" s="13" t="s">
        <v>44</v>
      </c>
      <c r="C32" s="12" t="s">
        <v>49</v>
      </c>
      <c r="D32" s="14">
        <v>109721.261</v>
      </c>
      <c r="E32" s="14">
        <v>3924</v>
      </c>
      <c r="F32" s="14">
        <v>62.631999999999998</v>
      </c>
      <c r="G32" s="14">
        <v>0</v>
      </c>
      <c r="H32" s="14">
        <v>2708.8290000000002</v>
      </c>
      <c r="I32" s="14">
        <v>6695.5</v>
      </c>
      <c r="J32" s="15">
        <v>6.0999999999999999E-2</v>
      </c>
      <c r="K32" s="13" t="s">
        <v>51</v>
      </c>
      <c r="L32" s="12"/>
    </row>
    <row r="33" spans="1:12" x14ac:dyDescent="0.2">
      <c r="A33" s="8" t="s">
        <v>60</v>
      </c>
      <c r="B33" s="9" t="s">
        <v>44</v>
      </c>
      <c r="C33" s="8" t="s">
        <v>45</v>
      </c>
      <c r="D33" s="10">
        <v>73551.671000000002</v>
      </c>
      <c r="E33" s="10">
        <v>24104.513999999999</v>
      </c>
      <c r="F33" s="10"/>
      <c r="G33" s="10">
        <v>0</v>
      </c>
      <c r="H33" s="10"/>
      <c r="I33" s="10">
        <v>24104.5</v>
      </c>
      <c r="J33" s="11">
        <v>0.32769999999999999</v>
      </c>
      <c r="K33" s="9" t="s">
        <v>51</v>
      </c>
      <c r="L33" s="8"/>
    </row>
    <row r="34" spans="1:12" x14ac:dyDescent="0.2">
      <c r="A34" s="8" t="s">
        <v>60</v>
      </c>
      <c r="B34" s="9" t="s">
        <v>44</v>
      </c>
      <c r="C34" s="8" t="s">
        <v>48</v>
      </c>
      <c r="D34" s="10">
        <v>51435.385000000002</v>
      </c>
      <c r="E34" s="10">
        <v>22445.73</v>
      </c>
      <c r="F34" s="10"/>
      <c r="G34" s="10">
        <v>0</v>
      </c>
      <c r="H34" s="10"/>
      <c r="I34" s="10">
        <v>22445.7</v>
      </c>
      <c r="J34" s="11">
        <v>0.43640000000000001</v>
      </c>
      <c r="K34" s="9" t="s">
        <v>51</v>
      </c>
      <c r="L34" s="8"/>
    </row>
    <row r="35" spans="1:12" x14ac:dyDescent="0.2">
      <c r="A35" s="8" t="s">
        <v>60</v>
      </c>
      <c r="B35" s="9" t="s">
        <v>44</v>
      </c>
      <c r="C35" s="8" t="s">
        <v>49</v>
      </c>
      <c r="D35" s="10">
        <v>22116.286</v>
      </c>
      <c r="E35" s="10"/>
      <c r="F35" s="10"/>
      <c r="G35" s="10">
        <v>0</v>
      </c>
      <c r="H35" s="10"/>
      <c r="I35" s="10">
        <v>0</v>
      </c>
      <c r="J35" s="11">
        <v>0</v>
      </c>
      <c r="K35" s="9" t="s">
        <v>51</v>
      </c>
      <c r="L35" s="8"/>
    </row>
    <row r="36" spans="1:12" x14ac:dyDescent="0.2">
      <c r="A36" s="12" t="s">
        <v>61</v>
      </c>
      <c r="B36" s="13" t="s">
        <v>44</v>
      </c>
      <c r="C36" s="12" t="s">
        <v>45</v>
      </c>
      <c r="D36" s="14">
        <v>181262.15900000001</v>
      </c>
      <c r="E36" s="14">
        <v>62034.892</v>
      </c>
      <c r="F36" s="14">
        <v>5336.8609999999999</v>
      </c>
      <c r="G36" s="14">
        <v>0</v>
      </c>
      <c r="H36" s="14">
        <v>1766.2280000000001</v>
      </c>
      <c r="I36" s="14">
        <v>69138</v>
      </c>
      <c r="J36" s="15">
        <v>0.38140000000000002</v>
      </c>
      <c r="K36" s="13" t="s">
        <v>51</v>
      </c>
      <c r="L36" s="12"/>
    </row>
    <row r="37" spans="1:12" x14ac:dyDescent="0.2">
      <c r="A37" s="12" t="s">
        <v>61</v>
      </c>
      <c r="B37" s="13" t="s">
        <v>44</v>
      </c>
      <c r="C37" s="12" t="s">
        <v>48</v>
      </c>
      <c r="D37" s="14">
        <v>162640.71799999999</v>
      </c>
      <c r="E37" s="14">
        <v>60411.235000000001</v>
      </c>
      <c r="F37" s="14">
        <v>5255.1980000000003</v>
      </c>
      <c r="G37" s="14">
        <v>0</v>
      </c>
      <c r="H37" s="14">
        <v>1177.4849999999999</v>
      </c>
      <c r="I37" s="14">
        <v>66843.899999999994</v>
      </c>
      <c r="J37" s="15">
        <v>0.41099999999999998</v>
      </c>
      <c r="K37" s="13" t="s">
        <v>51</v>
      </c>
      <c r="L37" s="12"/>
    </row>
    <row r="38" spans="1:12" x14ac:dyDescent="0.2">
      <c r="A38" s="12" t="s">
        <v>61</v>
      </c>
      <c r="B38" s="13" t="s">
        <v>44</v>
      </c>
      <c r="C38" s="12" t="s">
        <v>49</v>
      </c>
      <c r="D38" s="14">
        <v>18621.440999999999</v>
      </c>
      <c r="E38" s="14">
        <v>1623.6579999999999</v>
      </c>
      <c r="F38" s="14">
        <v>81.662999999999997</v>
      </c>
      <c r="G38" s="14">
        <v>0</v>
      </c>
      <c r="H38" s="14">
        <v>588.74300000000005</v>
      </c>
      <c r="I38" s="14">
        <v>2294.1</v>
      </c>
      <c r="J38" s="15">
        <v>0.1232</v>
      </c>
      <c r="K38" s="13" t="s">
        <v>51</v>
      </c>
      <c r="L38" s="12"/>
    </row>
    <row r="39" spans="1:12" x14ac:dyDescent="0.2">
      <c r="A39" s="8" t="s">
        <v>62</v>
      </c>
      <c r="B39" s="9" t="s">
        <v>44</v>
      </c>
      <c r="C39" s="8" t="s">
        <v>45</v>
      </c>
      <c r="D39" s="10"/>
      <c r="E39" s="10">
        <v>942.06200000000001</v>
      </c>
      <c r="F39" s="10"/>
      <c r="G39" s="10">
        <v>0</v>
      </c>
      <c r="H39" s="10">
        <v>0</v>
      </c>
      <c r="I39" s="10">
        <v>942.1</v>
      </c>
      <c r="J39" s="11"/>
      <c r="K39" s="9" t="s">
        <v>46</v>
      </c>
      <c r="L39" s="8" t="s">
        <v>47</v>
      </c>
    </row>
    <row r="40" spans="1:12" x14ac:dyDescent="0.2">
      <c r="A40" s="8" t="s">
        <v>62</v>
      </c>
      <c r="B40" s="9" t="s">
        <v>44</v>
      </c>
      <c r="C40" s="8" t="s">
        <v>48</v>
      </c>
      <c r="D40" s="10"/>
      <c r="E40" s="10">
        <v>942.06200000000001</v>
      </c>
      <c r="F40" s="10"/>
      <c r="G40" s="10">
        <v>0</v>
      </c>
      <c r="H40" s="10">
        <v>0</v>
      </c>
      <c r="I40" s="10">
        <v>942.1</v>
      </c>
      <c r="J40" s="11"/>
      <c r="K40" s="9" t="s">
        <v>46</v>
      </c>
      <c r="L40" s="8" t="s">
        <v>47</v>
      </c>
    </row>
    <row r="41" spans="1:12" x14ac:dyDescent="0.2">
      <c r="A41" s="8" t="s">
        <v>62</v>
      </c>
      <c r="B41" s="9" t="s">
        <v>44</v>
      </c>
      <c r="C41" s="8" t="s">
        <v>49</v>
      </c>
      <c r="D41" s="10"/>
      <c r="E41" s="10">
        <v>0</v>
      </c>
      <c r="F41" s="10"/>
      <c r="G41" s="10">
        <v>0</v>
      </c>
      <c r="H41" s="10">
        <v>0</v>
      </c>
      <c r="I41" s="10">
        <v>0</v>
      </c>
      <c r="J41" s="11"/>
      <c r="K41" s="9" t="s">
        <v>46</v>
      </c>
      <c r="L41" s="8" t="s">
        <v>47</v>
      </c>
    </row>
    <row r="42" spans="1:12" x14ac:dyDescent="0.2">
      <c r="A42" s="12" t="s">
        <v>63</v>
      </c>
      <c r="B42" s="13" t="s">
        <v>44</v>
      </c>
      <c r="C42" s="12" t="s">
        <v>45</v>
      </c>
      <c r="D42" s="14">
        <v>9160.2720000000008</v>
      </c>
      <c r="E42" s="14">
        <v>1758.9839999999999</v>
      </c>
      <c r="F42" s="14">
        <v>918.91499999999996</v>
      </c>
      <c r="G42" s="14">
        <v>0</v>
      </c>
      <c r="H42" s="14">
        <v>117.458</v>
      </c>
      <c r="I42" s="14">
        <v>2795.4</v>
      </c>
      <c r="J42" s="15">
        <v>0.30520000000000003</v>
      </c>
      <c r="K42" s="13" t="s">
        <v>51</v>
      </c>
      <c r="L42" s="12"/>
    </row>
    <row r="43" spans="1:12" x14ac:dyDescent="0.2">
      <c r="A43" s="12" t="s">
        <v>63</v>
      </c>
      <c r="B43" s="13" t="s">
        <v>44</v>
      </c>
      <c r="C43" s="12" t="s">
        <v>48</v>
      </c>
      <c r="D43" s="14">
        <v>8610.2800000000007</v>
      </c>
      <c r="E43" s="14">
        <v>1654.3820000000001</v>
      </c>
      <c r="F43" s="14">
        <v>918.91499999999996</v>
      </c>
      <c r="G43" s="14">
        <v>0</v>
      </c>
      <c r="H43" s="14">
        <v>112.6</v>
      </c>
      <c r="I43" s="14">
        <v>2685.9</v>
      </c>
      <c r="J43" s="15">
        <v>0.31190000000000001</v>
      </c>
      <c r="K43" s="13" t="s">
        <v>51</v>
      </c>
      <c r="L43" s="12"/>
    </row>
    <row r="44" spans="1:12" x14ac:dyDescent="0.2">
      <c r="A44" s="12" t="s">
        <v>63</v>
      </c>
      <c r="B44" s="13" t="s">
        <v>44</v>
      </c>
      <c r="C44" s="12" t="s">
        <v>49</v>
      </c>
      <c r="D44" s="14">
        <v>549.99199999999996</v>
      </c>
      <c r="E44" s="14">
        <v>104.60299999999999</v>
      </c>
      <c r="F44" s="14">
        <v>0</v>
      </c>
      <c r="G44" s="14">
        <v>0</v>
      </c>
      <c r="H44" s="14">
        <v>4.859</v>
      </c>
      <c r="I44" s="14">
        <v>109.5</v>
      </c>
      <c r="J44" s="15">
        <v>0.19900000000000001</v>
      </c>
      <c r="K44" s="13" t="s">
        <v>51</v>
      </c>
      <c r="L44" s="12"/>
    </row>
    <row r="45" spans="1:12" x14ac:dyDescent="0.2">
      <c r="A45" s="8" t="s">
        <v>64</v>
      </c>
      <c r="B45" s="9" t="s">
        <v>44</v>
      </c>
      <c r="C45" s="8" t="s">
        <v>45</v>
      </c>
      <c r="D45" s="10">
        <v>205.417</v>
      </c>
      <c r="E45" s="10">
        <v>77.408000000000001</v>
      </c>
      <c r="F45" s="10">
        <v>0</v>
      </c>
      <c r="G45" s="10">
        <v>0</v>
      </c>
      <c r="H45" s="10">
        <v>19.033000000000001</v>
      </c>
      <c r="I45" s="10">
        <v>96.4</v>
      </c>
      <c r="J45" s="11">
        <v>0.46949999999999997</v>
      </c>
      <c r="K45" s="9" t="s">
        <v>51</v>
      </c>
      <c r="L45" s="8"/>
    </row>
    <row r="46" spans="1:12" x14ac:dyDescent="0.2">
      <c r="A46" s="8" t="s">
        <v>64</v>
      </c>
      <c r="B46" s="9" t="s">
        <v>44</v>
      </c>
      <c r="C46" s="8" t="s">
        <v>48</v>
      </c>
      <c r="D46" s="10">
        <v>205.417</v>
      </c>
      <c r="E46" s="10">
        <v>77.408000000000001</v>
      </c>
      <c r="F46" s="10">
        <v>0</v>
      </c>
      <c r="G46" s="10">
        <v>0</v>
      </c>
      <c r="H46" s="10">
        <v>19.033000000000001</v>
      </c>
      <c r="I46" s="10">
        <v>96.4</v>
      </c>
      <c r="J46" s="11">
        <v>0.46949999999999997</v>
      </c>
      <c r="K46" s="9" t="s">
        <v>51</v>
      </c>
      <c r="L46" s="8"/>
    </row>
    <row r="47" spans="1:12" x14ac:dyDescent="0.2">
      <c r="A47" s="8" t="s">
        <v>64</v>
      </c>
      <c r="B47" s="9" t="s">
        <v>44</v>
      </c>
      <c r="C47" s="8" t="s">
        <v>49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1"/>
      <c r="K47" s="9" t="s">
        <v>51</v>
      </c>
      <c r="L47" s="8"/>
    </row>
    <row r="48" spans="1:12" x14ac:dyDescent="0.2">
      <c r="A48" s="12" t="s">
        <v>65</v>
      </c>
      <c r="B48" s="13" t="s">
        <v>44</v>
      </c>
      <c r="C48" s="12" t="s">
        <v>45</v>
      </c>
      <c r="D48" s="14">
        <v>82726.434999999998</v>
      </c>
      <c r="E48" s="14">
        <v>53436.097000000002</v>
      </c>
      <c r="F48" s="14">
        <v>0</v>
      </c>
      <c r="G48" s="14">
        <v>0</v>
      </c>
      <c r="H48" s="14">
        <v>4216.1109999999999</v>
      </c>
      <c r="I48" s="14">
        <v>57652.2</v>
      </c>
      <c r="J48" s="15">
        <v>0.69689999999999996</v>
      </c>
      <c r="K48" s="13" t="s">
        <v>51</v>
      </c>
      <c r="L48" s="12"/>
    </row>
    <row r="49" spans="1:12" x14ac:dyDescent="0.2">
      <c r="A49" s="12" t="s">
        <v>65</v>
      </c>
      <c r="B49" s="13" t="s">
        <v>44</v>
      </c>
      <c r="C49" s="12" t="s">
        <v>48</v>
      </c>
      <c r="D49" s="14">
        <v>40388.192000000003</v>
      </c>
      <c r="E49" s="14">
        <v>11671.787</v>
      </c>
      <c r="F49" s="14">
        <v>0</v>
      </c>
      <c r="G49" s="14">
        <v>0</v>
      </c>
      <c r="H49" s="14">
        <v>4122.0479999999998</v>
      </c>
      <c r="I49" s="14">
        <v>15793.8</v>
      </c>
      <c r="J49" s="15">
        <v>0.3911</v>
      </c>
      <c r="K49" s="13" t="s">
        <v>51</v>
      </c>
      <c r="L49" s="12"/>
    </row>
    <row r="50" spans="1:12" x14ac:dyDescent="0.2">
      <c r="A50" s="12" t="s">
        <v>65</v>
      </c>
      <c r="B50" s="13" t="s">
        <v>44</v>
      </c>
      <c r="C50" s="12" t="s">
        <v>49</v>
      </c>
      <c r="D50" s="14">
        <v>42338.243000000002</v>
      </c>
      <c r="E50" s="14">
        <v>41764.31</v>
      </c>
      <c r="F50" s="14">
        <v>0</v>
      </c>
      <c r="G50" s="14">
        <v>0</v>
      </c>
      <c r="H50" s="14">
        <v>94.063999999999993</v>
      </c>
      <c r="I50" s="14">
        <v>41858.400000000001</v>
      </c>
      <c r="J50" s="15">
        <v>0.98870000000000002</v>
      </c>
      <c r="K50" s="13" t="s">
        <v>51</v>
      </c>
      <c r="L50" s="12"/>
    </row>
    <row r="51" spans="1:12" x14ac:dyDescent="0.2">
      <c r="A51" s="8" t="s">
        <v>66</v>
      </c>
      <c r="B51" s="9" t="s">
        <v>44</v>
      </c>
      <c r="C51" s="8" t="s">
        <v>45</v>
      </c>
      <c r="D51" s="10">
        <v>121.075</v>
      </c>
      <c r="E51" s="10">
        <v>42.329000000000001</v>
      </c>
      <c r="F51" s="10">
        <v>0</v>
      </c>
      <c r="G51" s="10">
        <v>0</v>
      </c>
      <c r="H51" s="10">
        <v>28.68</v>
      </c>
      <c r="I51" s="10">
        <v>71</v>
      </c>
      <c r="J51" s="11">
        <v>0.58650000000000002</v>
      </c>
      <c r="K51" s="9" t="s">
        <v>51</v>
      </c>
      <c r="L51" s="8"/>
    </row>
    <row r="52" spans="1:12" x14ac:dyDescent="0.2">
      <c r="A52" s="8" t="s">
        <v>66</v>
      </c>
      <c r="B52" s="9" t="s">
        <v>44</v>
      </c>
      <c r="C52" s="8" t="s">
        <v>48</v>
      </c>
      <c r="D52" s="10">
        <v>120.92</v>
      </c>
      <c r="E52" s="10">
        <v>42.244999999999997</v>
      </c>
      <c r="F52" s="10">
        <v>0</v>
      </c>
      <c r="G52" s="10">
        <v>0</v>
      </c>
      <c r="H52" s="10">
        <v>28.608000000000001</v>
      </c>
      <c r="I52" s="10">
        <v>70.900000000000006</v>
      </c>
      <c r="J52" s="11">
        <v>0.58589999999999998</v>
      </c>
      <c r="K52" s="9" t="s">
        <v>51</v>
      </c>
      <c r="L52" s="8"/>
    </row>
    <row r="53" spans="1:12" x14ac:dyDescent="0.2">
      <c r="A53" s="8" t="s">
        <v>66</v>
      </c>
      <c r="B53" s="9" t="s">
        <v>44</v>
      </c>
      <c r="C53" s="8" t="s">
        <v>49</v>
      </c>
      <c r="D53" s="10">
        <v>0.155</v>
      </c>
      <c r="E53" s="10">
        <v>8.4000000000000005E-2</v>
      </c>
      <c r="F53" s="10">
        <v>0</v>
      </c>
      <c r="G53" s="10">
        <v>0</v>
      </c>
      <c r="H53" s="10">
        <v>7.1999999999999995E-2</v>
      </c>
      <c r="I53" s="10">
        <v>0.2</v>
      </c>
      <c r="J53" s="11">
        <v>1.0065</v>
      </c>
      <c r="K53" s="9" t="s">
        <v>51</v>
      </c>
      <c r="L53" s="8"/>
    </row>
    <row r="54" spans="1:12" x14ac:dyDescent="0.2">
      <c r="A54" s="12" t="s">
        <v>67</v>
      </c>
      <c r="B54" s="13" t="s">
        <v>44</v>
      </c>
      <c r="C54" s="12" t="s">
        <v>45</v>
      </c>
      <c r="D54" s="14">
        <v>1891.557</v>
      </c>
      <c r="E54" s="14">
        <v>386.1</v>
      </c>
      <c r="F54" s="14">
        <v>0</v>
      </c>
      <c r="G54" s="14">
        <v>0</v>
      </c>
      <c r="H54" s="14">
        <v>13.217000000000001</v>
      </c>
      <c r="I54" s="14">
        <v>399.3</v>
      </c>
      <c r="J54" s="15">
        <v>0.21110000000000001</v>
      </c>
      <c r="K54" s="13" t="s">
        <v>51</v>
      </c>
      <c r="L54" s="12"/>
    </row>
    <row r="55" spans="1:12" x14ac:dyDescent="0.2">
      <c r="A55" s="12" t="s">
        <v>67</v>
      </c>
      <c r="B55" s="13" t="s">
        <v>44</v>
      </c>
      <c r="C55" s="12" t="s">
        <v>48</v>
      </c>
      <c r="D55" s="14">
        <v>1891.557</v>
      </c>
      <c r="E55" s="14">
        <v>386.1</v>
      </c>
      <c r="F55" s="14">
        <v>0</v>
      </c>
      <c r="G55" s="14">
        <v>0</v>
      </c>
      <c r="H55" s="14">
        <v>13.217000000000001</v>
      </c>
      <c r="I55" s="14">
        <v>399.3</v>
      </c>
      <c r="J55" s="15">
        <v>0.21110000000000001</v>
      </c>
      <c r="K55" s="13" t="s">
        <v>51</v>
      </c>
      <c r="L55" s="12"/>
    </row>
    <row r="56" spans="1:12" x14ac:dyDescent="0.2">
      <c r="A56" s="12" t="s">
        <v>67</v>
      </c>
      <c r="B56" s="13" t="s">
        <v>44</v>
      </c>
      <c r="C56" s="12" t="s">
        <v>49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5"/>
      <c r="K56" s="13" t="s">
        <v>51</v>
      </c>
      <c r="L56" s="12"/>
    </row>
    <row r="57" spans="1:12" x14ac:dyDescent="0.2">
      <c r="A57" s="8" t="s">
        <v>68</v>
      </c>
      <c r="B57" s="9" t="s">
        <v>44</v>
      </c>
      <c r="C57" s="8" t="s">
        <v>45</v>
      </c>
      <c r="D57" s="10"/>
      <c r="E57" s="10"/>
      <c r="F57" s="10">
        <v>0</v>
      </c>
      <c r="G57" s="10">
        <v>0</v>
      </c>
      <c r="H57" s="10">
        <v>0</v>
      </c>
      <c r="I57" s="10">
        <v>0</v>
      </c>
      <c r="J57" s="11"/>
      <c r="K57" s="9" t="s">
        <v>46</v>
      </c>
      <c r="L57" s="8" t="s">
        <v>47</v>
      </c>
    </row>
    <row r="58" spans="1:12" x14ac:dyDescent="0.2">
      <c r="A58" s="8" t="s">
        <v>68</v>
      </c>
      <c r="B58" s="9" t="s">
        <v>44</v>
      </c>
      <c r="C58" s="8" t="s">
        <v>48</v>
      </c>
      <c r="D58" s="10"/>
      <c r="E58" s="10"/>
      <c r="F58" s="10">
        <v>0</v>
      </c>
      <c r="G58" s="10">
        <v>0</v>
      </c>
      <c r="H58" s="10"/>
      <c r="I58" s="10">
        <v>0</v>
      </c>
      <c r="J58" s="11"/>
      <c r="K58" s="9" t="s">
        <v>46</v>
      </c>
      <c r="L58" s="8" t="s">
        <v>47</v>
      </c>
    </row>
    <row r="59" spans="1:12" x14ac:dyDescent="0.2">
      <c r="A59" s="8" t="s">
        <v>68</v>
      </c>
      <c r="B59" s="9" t="s">
        <v>44</v>
      </c>
      <c r="C59" s="8" t="s">
        <v>49</v>
      </c>
      <c r="D59" s="10"/>
      <c r="E59" s="10"/>
      <c r="F59" s="10">
        <v>0</v>
      </c>
      <c r="G59" s="10">
        <v>0</v>
      </c>
      <c r="H59" s="10"/>
      <c r="I59" s="10">
        <v>0</v>
      </c>
      <c r="J59" s="11"/>
      <c r="K59" s="9" t="s">
        <v>46</v>
      </c>
      <c r="L59" s="8" t="s">
        <v>47</v>
      </c>
    </row>
    <row r="60" spans="1:12" x14ac:dyDescent="0.2">
      <c r="A60" s="12" t="s">
        <v>69</v>
      </c>
      <c r="B60" s="13" t="s">
        <v>44</v>
      </c>
      <c r="C60" s="12" t="s">
        <v>45</v>
      </c>
      <c r="D60" s="14">
        <v>30.361999999999998</v>
      </c>
      <c r="E60" s="14">
        <v>0</v>
      </c>
      <c r="F60" s="14">
        <v>0</v>
      </c>
      <c r="G60" s="14">
        <v>0</v>
      </c>
      <c r="H60" s="14">
        <v>15.965999999999999</v>
      </c>
      <c r="I60" s="14">
        <v>16</v>
      </c>
      <c r="J60" s="15">
        <v>0.52590000000000003</v>
      </c>
      <c r="K60" s="13" t="s">
        <v>51</v>
      </c>
      <c r="L60" s="12"/>
    </row>
    <row r="61" spans="1:12" x14ac:dyDescent="0.2">
      <c r="A61" s="12" t="s">
        <v>69</v>
      </c>
      <c r="B61" s="13" t="s">
        <v>44</v>
      </c>
      <c r="C61" s="12" t="s">
        <v>48</v>
      </c>
      <c r="D61" s="14">
        <v>30.361999999999998</v>
      </c>
      <c r="E61" s="14">
        <v>0</v>
      </c>
      <c r="F61" s="14">
        <v>0</v>
      </c>
      <c r="G61" s="14">
        <v>0</v>
      </c>
      <c r="H61" s="14">
        <v>15.965999999999999</v>
      </c>
      <c r="I61" s="14">
        <v>16</v>
      </c>
      <c r="J61" s="15">
        <v>0.52590000000000003</v>
      </c>
      <c r="K61" s="13" t="s">
        <v>51</v>
      </c>
      <c r="L61" s="12"/>
    </row>
    <row r="62" spans="1:12" x14ac:dyDescent="0.2">
      <c r="A62" s="12" t="s">
        <v>69</v>
      </c>
      <c r="B62" s="13" t="s">
        <v>44</v>
      </c>
      <c r="C62" s="12" t="s">
        <v>49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5"/>
      <c r="K62" s="13" t="s">
        <v>51</v>
      </c>
      <c r="L62" s="12"/>
    </row>
    <row r="63" spans="1:12" x14ac:dyDescent="0.2">
      <c r="A63" s="8" t="s">
        <v>70</v>
      </c>
      <c r="B63" s="9" t="s">
        <v>44</v>
      </c>
      <c r="C63" s="8" t="s">
        <v>45</v>
      </c>
      <c r="D63" s="10">
        <v>64.772000000000006</v>
      </c>
      <c r="E63" s="10">
        <v>19.260000000000002</v>
      </c>
      <c r="F63" s="10">
        <v>0</v>
      </c>
      <c r="G63" s="10">
        <v>0</v>
      </c>
      <c r="H63" s="10">
        <v>0.432</v>
      </c>
      <c r="I63" s="10">
        <v>19.7</v>
      </c>
      <c r="J63" s="11">
        <v>0.30399999999999999</v>
      </c>
      <c r="K63" s="9" t="s">
        <v>51</v>
      </c>
      <c r="L63" s="8"/>
    </row>
    <row r="64" spans="1:12" x14ac:dyDescent="0.2">
      <c r="A64" s="8" t="s">
        <v>70</v>
      </c>
      <c r="B64" s="9" t="s">
        <v>44</v>
      </c>
      <c r="C64" s="8" t="s">
        <v>48</v>
      </c>
      <c r="D64" s="10">
        <v>64.772000000000006</v>
      </c>
      <c r="E64" s="10">
        <v>19.260000000000002</v>
      </c>
      <c r="F64" s="10">
        <v>0</v>
      </c>
      <c r="G64" s="10">
        <v>0</v>
      </c>
      <c r="H64" s="10">
        <v>0.432</v>
      </c>
      <c r="I64" s="10">
        <v>19.7</v>
      </c>
      <c r="J64" s="11">
        <v>0.30399999999999999</v>
      </c>
      <c r="K64" s="9" t="s">
        <v>51</v>
      </c>
      <c r="L64" s="8"/>
    </row>
    <row r="65" spans="1:12" x14ac:dyDescent="0.2">
      <c r="A65" s="8" t="s">
        <v>70</v>
      </c>
      <c r="B65" s="9" t="s">
        <v>44</v>
      </c>
      <c r="C65" s="8" t="s">
        <v>49</v>
      </c>
      <c r="D65" s="10"/>
      <c r="E65" s="10"/>
      <c r="F65" s="10">
        <v>0</v>
      </c>
      <c r="G65" s="10">
        <v>0</v>
      </c>
      <c r="H65" s="10">
        <v>0</v>
      </c>
      <c r="I65" s="10">
        <v>0</v>
      </c>
      <c r="J65" s="11"/>
      <c r="K65" s="9" t="s">
        <v>46</v>
      </c>
      <c r="L65" s="8" t="s">
        <v>47</v>
      </c>
    </row>
    <row r="66" spans="1:12" x14ac:dyDescent="0.2">
      <c r="A66" s="12" t="s">
        <v>71</v>
      </c>
      <c r="B66" s="13" t="s">
        <v>44</v>
      </c>
      <c r="C66" s="12" t="s">
        <v>45</v>
      </c>
      <c r="D66" s="14">
        <v>44.145000000000003</v>
      </c>
      <c r="E66" s="14">
        <v>0</v>
      </c>
      <c r="F66" s="14">
        <v>0</v>
      </c>
      <c r="G66" s="14">
        <v>0</v>
      </c>
      <c r="H66" s="14">
        <v>27.945</v>
      </c>
      <c r="I66" s="14">
        <v>27.9</v>
      </c>
      <c r="J66" s="15">
        <v>0.63300000000000001</v>
      </c>
      <c r="K66" s="13" t="s">
        <v>51</v>
      </c>
      <c r="L66" s="12"/>
    </row>
    <row r="67" spans="1:12" x14ac:dyDescent="0.2">
      <c r="A67" s="12" t="s">
        <v>71</v>
      </c>
      <c r="B67" s="13" t="s">
        <v>44</v>
      </c>
      <c r="C67" s="12" t="s">
        <v>48</v>
      </c>
      <c r="D67" s="14">
        <v>30.172999999999998</v>
      </c>
      <c r="E67" s="14">
        <v>0</v>
      </c>
      <c r="F67" s="14">
        <v>0</v>
      </c>
      <c r="G67" s="14">
        <v>0</v>
      </c>
      <c r="H67" s="14">
        <v>13.973000000000001</v>
      </c>
      <c r="I67" s="14">
        <v>14</v>
      </c>
      <c r="J67" s="15">
        <v>0.46310000000000001</v>
      </c>
      <c r="K67" s="13" t="s">
        <v>51</v>
      </c>
      <c r="L67" s="12"/>
    </row>
    <row r="68" spans="1:12" x14ac:dyDescent="0.2">
      <c r="A68" s="12" t="s">
        <v>71</v>
      </c>
      <c r="B68" s="13" t="s">
        <v>44</v>
      </c>
      <c r="C68" s="12" t="s">
        <v>49</v>
      </c>
      <c r="D68" s="14">
        <v>13.973000000000001</v>
      </c>
      <c r="E68" s="14">
        <v>0</v>
      </c>
      <c r="F68" s="14">
        <v>0</v>
      </c>
      <c r="G68" s="14">
        <v>0</v>
      </c>
      <c r="H68" s="14">
        <v>13.973000000000001</v>
      </c>
      <c r="I68" s="14">
        <v>14</v>
      </c>
      <c r="J68" s="15">
        <v>1</v>
      </c>
      <c r="K68" s="13" t="s">
        <v>51</v>
      </c>
      <c r="L68" s="12"/>
    </row>
    <row r="69" spans="1:12" x14ac:dyDescent="0.2">
      <c r="A69" s="8" t="s">
        <v>72</v>
      </c>
      <c r="B69" s="9" t="s">
        <v>44</v>
      </c>
      <c r="C69" s="8" t="s">
        <v>45</v>
      </c>
      <c r="D69" s="10"/>
      <c r="E69" s="10">
        <v>9857.8529999999992</v>
      </c>
      <c r="F69" s="10">
        <v>0</v>
      </c>
      <c r="G69" s="10">
        <v>0</v>
      </c>
      <c r="H69" s="10">
        <v>12.138</v>
      </c>
      <c r="I69" s="10">
        <v>9870</v>
      </c>
      <c r="J69" s="11"/>
      <c r="K69" s="9" t="s">
        <v>46</v>
      </c>
      <c r="L69" s="8" t="s">
        <v>47</v>
      </c>
    </row>
    <row r="70" spans="1:12" x14ac:dyDescent="0.2">
      <c r="A70" s="8" t="s">
        <v>72</v>
      </c>
      <c r="B70" s="9" t="s">
        <v>44</v>
      </c>
      <c r="C70" s="8" t="s">
        <v>48</v>
      </c>
      <c r="D70" s="10"/>
      <c r="E70" s="10">
        <v>9857.8529999999992</v>
      </c>
      <c r="F70" s="10">
        <v>0</v>
      </c>
      <c r="G70" s="10">
        <v>0</v>
      </c>
      <c r="H70" s="10">
        <v>12.138</v>
      </c>
      <c r="I70" s="10">
        <v>9870</v>
      </c>
      <c r="J70" s="11"/>
      <c r="K70" s="9" t="s">
        <v>46</v>
      </c>
      <c r="L70" s="8" t="s">
        <v>47</v>
      </c>
    </row>
    <row r="71" spans="1:12" x14ac:dyDescent="0.2">
      <c r="A71" s="8" t="s">
        <v>72</v>
      </c>
      <c r="B71" s="9" t="s">
        <v>44</v>
      </c>
      <c r="C71" s="8" t="s">
        <v>49</v>
      </c>
      <c r="D71" s="10"/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1"/>
      <c r="K71" s="9" t="s">
        <v>46</v>
      </c>
      <c r="L71" s="8" t="s">
        <v>47</v>
      </c>
    </row>
    <row r="72" spans="1:12" x14ac:dyDescent="0.2">
      <c r="A72" s="12" t="s">
        <v>73</v>
      </c>
      <c r="B72" s="13" t="s">
        <v>44</v>
      </c>
      <c r="C72" s="12" t="s">
        <v>45</v>
      </c>
      <c r="D72" s="14">
        <v>15050.157999999999</v>
      </c>
      <c r="E72" s="14">
        <v>699.15599999999995</v>
      </c>
      <c r="F72" s="14">
        <v>0</v>
      </c>
      <c r="G72" s="14">
        <v>0</v>
      </c>
      <c r="H72" s="14">
        <v>415.05500000000001</v>
      </c>
      <c r="I72" s="14">
        <v>1114.2</v>
      </c>
      <c r="J72" s="15">
        <v>7.3999999999999996E-2</v>
      </c>
      <c r="K72" s="13" t="s">
        <v>51</v>
      </c>
      <c r="L72" s="12"/>
    </row>
    <row r="73" spans="1:12" x14ac:dyDescent="0.2">
      <c r="A73" s="12" t="s">
        <v>73</v>
      </c>
      <c r="B73" s="13" t="s">
        <v>44</v>
      </c>
      <c r="C73" s="12" t="s">
        <v>48</v>
      </c>
      <c r="D73" s="14">
        <v>11440.082</v>
      </c>
      <c r="E73" s="14">
        <v>206.00399999999999</v>
      </c>
      <c r="F73" s="14">
        <v>0</v>
      </c>
      <c r="G73" s="14">
        <v>0</v>
      </c>
      <c r="H73" s="14">
        <v>262.44099999999997</v>
      </c>
      <c r="I73" s="14">
        <v>468.4</v>
      </c>
      <c r="J73" s="15">
        <v>4.0899999999999999E-2</v>
      </c>
      <c r="K73" s="13" t="s">
        <v>51</v>
      </c>
      <c r="L73" s="12"/>
    </row>
    <row r="74" spans="1:12" x14ac:dyDescent="0.2">
      <c r="A74" s="12" t="s">
        <v>73</v>
      </c>
      <c r="B74" s="13" t="s">
        <v>44</v>
      </c>
      <c r="C74" s="12" t="s">
        <v>49</v>
      </c>
      <c r="D74" s="14">
        <v>3610.076</v>
      </c>
      <c r="E74" s="14">
        <v>493.15100000000001</v>
      </c>
      <c r="F74" s="14">
        <v>0</v>
      </c>
      <c r="G74" s="14">
        <v>0</v>
      </c>
      <c r="H74" s="14">
        <v>152.614</v>
      </c>
      <c r="I74" s="14">
        <v>645.79999999999995</v>
      </c>
      <c r="J74" s="15">
        <v>0.1789</v>
      </c>
      <c r="K74" s="13" t="s">
        <v>51</v>
      </c>
      <c r="L74" s="12"/>
    </row>
    <row r="75" spans="1:12" x14ac:dyDescent="0.2">
      <c r="A75" s="8" t="s">
        <v>74</v>
      </c>
      <c r="B75" s="9" t="s">
        <v>44</v>
      </c>
      <c r="C75" s="8" t="s">
        <v>45</v>
      </c>
      <c r="D75" s="10">
        <v>59148.790999999997</v>
      </c>
      <c r="E75" s="10">
        <v>8572.7900000000009</v>
      </c>
      <c r="F75" s="10">
        <v>4513.0720000000001</v>
      </c>
      <c r="G75" s="10">
        <v>0</v>
      </c>
      <c r="H75" s="10">
        <v>1279.46</v>
      </c>
      <c r="I75" s="10">
        <v>14365.3</v>
      </c>
      <c r="J75" s="11">
        <v>0.2429</v>
      </c>
      <c r="K75" s="9" t="s">
        <v>51</v>
      </c>
      <c r="L75" s="8"/>
    </row>
    <row r="76" spans="1:12" x14ac:dyDescent="0.2">
      <c r="A76" s="8" t="s">
        <v>74</v>
      </c>
      <c r="B76" s="9" t="s">
        <v>44</v>
      </c>
      <c r="C76" s="8" t="s">
        <v>48</v>
      </c>
      <c r="D76" s="10">
        <v>57598.697</v>
      </c>
      <c r="E76" s="10">
        <v>8422.0840000000007</v>
      </c>
      <c r="F76" s="10">
        <v>3992.511</v>
      </c>
      <c r="G76" s="10">
        <v>0</v>
      </c>
      <c r="H76" s="10">
        <v>1278.145</v>
      </c>
      <c r="I76" s="10">
        <v>13692.7</v>
      </c>
      <c r="J76" s="11">
        <v>0.23769999999999999</v>
      </c>
      <c r="K76" s="9" t="s">
        <v>51</v>
      </c>
      <c r="L76" s="8"/>
    </row>
    <row r="77" spans="1:12" x14ac:dyDescent="0.2">
      <c r="A77" s="8" t="s">
        <v>74</v>
      </c>
      <c r="B77" s="9" t="s">
        <v>44</v>
      </c>
      <c r="C77" s="8" t="s">
        <v>49</v>
      </c>
      <c r="D77" s="10">
        <v>1550.0940000000001</v>
      </c>
      <c r="E77" s="10">
        <v>150.70599999999999</v>
      </c>
      <c r="F77" s="10">
        <v>520.55999999999995</v>
      </c>
      <c r="G77" s="10">
        <v>0</v>
      </c>
      <c r="H77" s="10">
        <v>1.3149999999999999</v>
      </c>
      <c r="I77" s="10">
        <v>672.6</v>
      </c>
      <c r="J77" s="11">
        <v>0.43390000000000001</v>
      </c>
      <c r="K77" s="9" t="s">
        <v>51</v>
      </c>
      <c r="L77" s="8"/>
    </row>
    <row r="78" spans="1:12" x14ac:dyDescent="0.2">
      <c r="A78" s="12" t="s">
        <v>75</v>
      </c>
      <c r="B78" s="13" t="s">
        <v>44</v>
      </c>
      <c r="C78" s="12" t="s">
        <v>45</v>
      </c>
      <c r="D78" s="14">
        <v>53802.847999999998</v>
      </c>
      <c r="E78" s="14">
        <v>4811.5420000000004</v>
      </c>
      <c r="F78" s="14">
        <v>0</v>
      </c>
      <c r="G78" s="14">
        <v>0</v>
      </c>
      <c r="H78" s="14">
        <v>2749.5210000000002</v>
      </c>
      <c r="I78" s="14">
        <v>7561.1</v>
      </c>
      <c r="J78" s="15">
        <v>0.14050000000000001</v>
      </c>
      <c r="K78" s="13" t="s">
        <v>51</v>
      </c>
      <c r="L78" s="12"/>
    </row>
    <row r="79" spans="1:12" x14ac:dyDescent="0.2">
      <c r="A79" s="12" t="s">
        <v>75</v>
      </c>
      <c r="B79" s="13" t="s">
        <v>44</v>
      </c>
      <c r="C79" s="12" t="s">
        <v>48</v>
      </c>
      <c r="D79" s="14">
        <v>8440.6730000000007</v>
      </c>
      <c r="E79" s="14">
        <v>3568.8449999999998</v>
      </c>
      <c r="F79" s="14">
        <v>0</v>
      </c>
      <c r="G79" s="14">
        <v>0</v>
      </c>
      <c r="H79" s="14">
        <v>285.18099999999998</v>
      </c>
      <c r="I79" s="14">
        <v>3854</v>
      </c>
      <c r="J79" s="15">
        <v>0.45660000000000001</v>
      </c>
      <c r="K79" s="13" t="s">
        <v>51</v>
      </c>
      <c r="L79" s="12"/>
    </row>
    <row r="80" spans="1:12" x14ac:dyDescent="0.2">
      <c r="A80" s="12" t="s">
        <v>75</v>
      </c>
      <c r="B80" s="13" t="s">
        <v>44</v>
      </c>
      <c r="C80" s="12" t="s">
        <v>49</v>
      </c>
      <c r="D80" s="14">
        <v>45362.175000000003</v>
      </c>
      <c r="E80" s="14">
        <v>1242.6969999999999</v>
      </c>
      <c r="F80" s="14">
        <v>0</v>
      </c>
      <c r="G80" s="14">
        <v>0</v>
      </c>
      <c r="H80" s="14">
        <v>2464.34</v>
      </c>
      <c r="I80" s="14">
        <v>3707</v>
      </c>
      <c r="J80" s="15">
        <v>8.1699999999999995E-2</v>
      </c>
      <c r="K80" s="13" t="s">
        <v>51</v>
      </c>
      <c r="L80" s="12"/>
    </row>
    <row r="81" spans="1:12" x14ac:dyDescent="0.2">
      <c r="A81" s="8" t="s">
        <v>76</v>
      </c>
      <c r="B81" s="9" t="s">
        <v>44</v>
      </c>
      <c r="C81" s="8" t="s">
        <v>45</v>
      </c>
      <c r="D81" s="10">
        <v>5484.2389999999996</v>
      </c>
      <c r="E81" s="10">
        <v>2451.0500000000002</v>
      </c>
      <c r="F81" s="10">
        <v>2.1909999999999998</v>
      </c>
      <c r="G81" s="10">
        <v>0</v>
      </c>
      <c r="H81" s="10">
        <v>29.326000000000001</v>
      </c>
      <c r="I81" s="10">
        <v>2482.6</v>
      </c>
      <c r="J81" s="11">
        <v>0.45269999999999999</v>
      </c>
      <c r="K81" s="9" t="s">
        <v>51</v>
      </c>
      <c r="L81" s="8"/>
    </row>
    <row r="82" spans="1:12" x14ac:dyDescent="0.2">
      <c r="A82" s="8" t="s">
        <v>76</v>
      </c>
      <c r="B82" s="9" t="s">
        <v>44</v>
      </c>
      <c r="C82" s="8" t="s">
        <v>48</v>
      </c>
      <c r="D82" s="10">
        <v>5484.2389999999996</v>
      </c>
      <c r="E82" s="10">
        <v>2451.0500000000002</v>
      </c>
      <c r="F82" s="10">
        <v>2.1909999999999998</v>
      </c>
      <c r="G82" s="10">
        <v>0</v>
      </c>
      <c r="H82" s="10">
        <v>29.326000000000001</v>
      </c>
      <c r="I82" s="10">
        <v>2482.6</v>
      </c>
      <c r="J82" s="11">
        <v>0.45269999999999999</v>
      </c>
      <c r="K82" s="9" t="s">
        <v>51</v>
      </c>
      <c r="L82" s="8"/>
    </row>
    <row r="83" spans="1:12" x14ac:dyDescent="0.2">
      <c r="A83" s="8" t="s">
        <v>76</v>
      </c>
      <c r="B83" s="9" t="s">
        <v>44</v>
      </c>
      <c r="C83" s="8" t="s">
        <v>49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1"/>
      <c r="K83" s="9" t="s">
        <v>51</v>
      </c>
      <c r="L83" s="8"/>
    </row>
    <row r="84" spans="1:12" x14ac:dyDescent="0.2">
      <c r="A84" s="12" t="s">
        <v>77</v>
      </c>
      <c r="B84" s="13" t="s">
        <v>44</v>
      </c>
      <c r="C84" s="12" t="s">
        <v>45</v>
      </c>
      <c r="D84" s="14">
        <v>4664.9870000000001</v>
      </c>
      <c r="E84" s="14">
        <v>1288.9939999999999</v>
      </c>
      <c r="F84" s="14">
        <v>309.82</v>
      </c>
      <c r="G84" s="14">
        <v>0</v>
      </c>
      <c r="H84" s="14">
        <v>27.611000000000001</v>
      </c>
      <c r="I84" s="14">
        <v>1626.4</v>
      </c>
      <c r="J84" s="15">
        <v>0.34860000000000002</v>
      </c>
      <c r="K84" s="13" t="s">
        <v>51</v>
      </c>
      <c r="L84" s="12"/>
    </row>
    <row r="85" spans="1:12" x14ac:dyDescent="0.2">
      <c r="A85" s="12" t="s">
        <v>77</v>
      </c>
      <c r="B85" s="13" t="s">
        <v>44</v>
      </c>
      <c r="C85" s="12" t="s">
        <v>48</v>
      </c>
      <c r="D85" s="14">
        <v>4664.9870000000001</v>
      </c>
      <c r="E85" s="14">
        <v>1288.9939999999999</v>
      </c>
      <c r="F85" s="14">
        <v>309.82</v>
      </c>
      <c r="G85" s="14">
        <v>0</v>
      </c>
      <c r="H85" s="14">
        <v>27.611000000000001</v>
      </c>
      <c r="I85" s="14">
        <v>1626.4</v>
      </c>
      <c r="J85" s="15">
        <v>0.34860000000000002</v>
      </c>
      <c r="K85" s="13" t="s">
        <v>51</v>
      </c>
      <c r="L85" s="12"/>
    </row>
    <row r="86" spans="1:12" x14ac:dyDescent="0.2">
      <c r="A86" s="12" t="s">
        <v>77</v>
      </c>
      <c r="B86" s="13" t="s">
        <v>44</v>
      </c>
      <c r="C86" s="12" t="s">
        <v>49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5"/>
      <c r="K86" s="13" t="s">
        <v>51</v>
      </c>
      <c r="L86" s="12"/>
    </row>
    <row r="87" spans="1:12" x14ac:dyDescent="0.2">
      <c r="A87" s="8" t="s">
        <v>78</v>
      </c>
      <c r="B87" s="9" t="s">
        <v>44</v>
      </c>
      <c r="C87" s="8" t="s">
        <v>45</v>
      </c>
      <c r="D87" s="10">
        <v>15114.9</v>
      </c>
      <c r="E87" s="10">
        <v>1350.9</v>
      </c>
      <c r="F87" s="10">
        <v>0</v>
      </c>
      <c r="G87" s="10">
        <v>0</v>
      </c>
      <c r="H87" s="10">
        <v>0</v>
      </c>
      <c r="I87" s="10">
        <v>1350.9</v>
      </c>
      <c r="J87" s="11">
        <v>8.9399999999999993E-2</v>
      </c>
      <c r="K87" s="9" t="s">
        <v>51</v>
      </c>
      <c r="L87" s="8"/>
    </row>
    <row r="88" spans="1:12" x14ac:dyDescent="0.2">
      <c r="A88" s="8" t="s">
        <v>78</v>
      </c>
      <c r="B88" s="9" t="s">
        <v>44</v>
      </c>
      <c r="C88" s="8" t="s">
        <v>48</v>
      </c>
      <c r="D88" s="10"/>
      <c r="E88" s="10"/>
      <c r="F88" s="10">
        <v>0</v>
      </c>
      <c r="G88" s="10">
        <v>0</v>
      </c>
      <c r="H88" s="10">
        <v>0</v>
      </c>
      <c r="I88" s="10">
        <v>0</v>
      </c>
      <c r="J88" s="11"/>
      <c r="K88" s="9" t="s">
        <v>46</v>
      </c>
      <c r="L88" s="8" t="s">
        <v>47</v>
      </c>
    </row>
    <row r="89" spans="1:12" x14ac:dyDescent="0.2">
      <c r="A89" s="8" t="s">
        <v>78</v>
      </c>
      <c r="B89" s="9" t="s">
        <v>44</v>
      </c>
      <c r="C89" s="8" t="s">
        <v>49</v>
      </c>
      <c r="D89" s="10"/>
      <c r="E89" s="10"/>
      <c r="F89" s="10">
        <v>0</v>
      </c>
      <c r="G89" s="10">
        <v>0</v>
      </c>
      <c r="H89" s="10">
        <v>0</v>
      </c>
      <c r="I89" s="10">
        <v>0</v>
      </c>
      <c r="J89" s="11"/>
      <c r="K89" s="9" t="s">
        <v>46</v>
      </c>
      <c r="L89" s="8" t="s">
        <v>47</v>
      </c>
    </row>
    <row r="90" spans="1:12" x14ac:dyDescent="0.2">
      <c r="A90" s="12" t="s">
        <v>79</v>
      </c>
      <c r="B90" s="13" t="s">
        <v>44</v>
      </c>
      <c r="C90" s="12" t="s">
        <v>45</v>
      </c>
      <c r="D90" s="14">
        <v>4686.0140000000001</v>
      </c>
      <c r="E90" s="14">
        <v>2482.0279999999998</v>
      </c>
      <c r="F90" s="14">
        <v>328.15600000000001</v>
      </c>
      <c r="G90" s="14">
        <v>0</v>
      </c>
      <c r="H90" s="14">
        <v>33.04</v>
      </c>
      <c r="I90" s="14">
        <v>2843.2</v>
      </c>
      <c r="J90" s="15">
        <v>0.60670000000000002</v>
      </c>
      <c r="K90" s="13" t="s">
        <v>51</v>
      </c>
      <c r="L90" s="12"/>
    </row>
    <row r="91" spans="1:12" x14ac:dyDescent="0.2">
      <c r="A91" s="12" t="s">
        <v>79</v>
      </c>
      <c r="B91" s="13" t="s">
        <v>44</v>
      </c>
      <c r="C91" s="12" t="s">
        <v>48</v>
      </c>
      <c r="D91" s="14"/>
      <c r="E91" s="14">
        <v>2482.0279999999998</v>
      </c>
      <c r="F91" s="14">
        <v>328.15600000000001</v>
      </c>
      <c r="G91" s="14">
        <v>0</v>
      </c>
      <c r="H91" s="14">
        <v>6.86</v>
      </c>
      <c r="I91" s="14">
        <v>2817</v>
      </c>
      <c r="J91" s="15"/>
      <c r="K91" s="13" t="s">
        <v>46</v>
      </c>
      <c r="L91" s="12" t="s">
        <v>47</v>
      </c>
    </row>
    <row r="92" spans="1:12" x14ac:dyDescent="0.2">
      <c r="A92" s="12" t="s">
        <v>79</v>
      </c>
      <c r="B92" s="13" t="s">
        <v>44</v>
      </c>
      <c r="C92" s="12" t="s">
        <v>49</v>
      </c>
      <c r="D92" s="14"/>
      <c r="E92" s="14">
        <v>0</v>
      </c>
      <c r="F92" s="14">
        <v>0</v>
      </c>
      <c r="G92" s="14">
        <v>0</v>
      </c>
      <c r="H92" s="14">
        <v>26.18</v>
      </c>
      <c r="I92" s="14">
        <v>26.2</v>
      </c>
      <c r="J92" s="15"/>
      <c r="K92" s="13" t="s">
        <v>46</v>
      </c>
      <c r="L92" s="12" t="s">
        <v>47</v>
      </c>
    </row>
    <row r="93" spans="1:12" x14ac:dyDescent="0.2">
      <c r="A93" s="8" t="s">
        <v>80</v>
      </c>
      <c r="B93" s="9" t="s">
        <v>44</v>
      </c>
      <c r="C93" s="8" t="s">
        <v>45</v>
      </c>
      <c r="D93" s="10">
        <v>72398.777000000002</v>
      </c>
      <c r="E93" s="10">
        <v>22364.1</v>
      </c>
      <c r="F93" s="10">
        <v>0</v>
      </c>
      <c r="G93" s="10">
        <v>0</v>
      </c>
      <c r="H93" s="10">
        <v>1813.942</v>
      </c>
      <c r="I93" s="10">
        <v>24178</v>
      </c>
      <c r="J93" s="11">
        <v>0.33400000000000002</v>
      </c>
      <c r="K93" s="9" t="s">
        <v>51</v>
      </c>
      <c r="L93" s="8"/>
    </row>
    <row r="94" spans="1:12" x14ac:dyDescent="0.2">
      <c r="A94" s="8" t="s">
        <v>80</v>
      </c>
      <c r="B94" s="9" t="s">
        <v>44</v>
      </c>
      <c r="C94" s="8" t="s">
        <v>48</v>
      </c>
      <c r="D94" s="10">
        <v>58973.150999999998</v>
      </c>
      <c r="E94" s="10">
        <v>13751.1</v>
      </c>
      <c r="F94" s="10">
        <v>0</v>
      </c>
      <c r="G94" s="10">
        <v>0</v>
      </c>
      <c r="H94" s="10">
        <v>1246.99</v>
      </c>
      <c r="I94" s="10">
        <v>14998.1</v>
      </c>
      <c r="J94" s="11">
        <v>0.25430000000000003</v>
      </c>
      <c r="K94" s="9" t="s">
        <v>51</v>
      </c>
      <c r="L94" s="8"/>
    </row>
    <row r="95" spans="1:12" x14ac:dyDescent="0.2">
      <c r="A95" s="8" t="s">
        <v>80</v>
      </c>
      <c r="B95" s="9" t="s">
        <v>44</v>
      </c>
      <c r="C95" s="8" t="s">
        <v>49</v>
      </c>
      <c r="D95" s="10">
        <v>13425.626</v>
      </c>
      <c r="E95" s="10">
        <v>8613</v>
      </c>
      <c r="F95" s="10">
        <v>0</v>
      </c>
      <c r="G95" s="10">
        <v>0</v>
      </c>
      <c r="H95" s="10">
        <v>566.952</v>
      </c>
      <c r="I95" s="10">
        <v>9180</v>
      </c>
      <c r="J95" s="11">
        <v>0.68379999999999996</v>
      </c>
      <c r="K95" s="9" t="s">
        <v>51</v>
      </c>
      <c r="L95" s="8"/>
    </row>
    <row r="96" spans="1:12" x14ac:dyDescent="0.2">
      <c r="A96" s="12" t="s">
        <v>81</v>
      </c>
      <c r="B96" s="13" t="s">
        <v>44</v>
      </c>
      <c r="C96" s="12" t="s">
        <v>45</v>
      </c>
      <c r="D96" s="14">
        <v>258003.45600000001</v>
      </c>
      <c r="E96" s="14">
        <v>382.702</v>
      </c>
      <c r="F96" s="14">
        <v>0</v>
      </c>
      <c r="G96" s="14">
        <v>226.59899999999999</v>
      </c>
      <c r="H96" s="14">
        <v>6453.06</v>
      </c>
      <c r="I96" s="14">
        <v>7062.4</v>
      </c>
      <c r="J96" s="15">
        <v>2.7400000000000001E-2</v>
      </c>
      <c r="K96" s="13" t="s">
        <v>51</v>
      </c>
      <c r="L96" s="12"/>
    </row>
    <row r="97" spans="1:12" x14ac:dyDescent="0.2">
      <c r="A97" s="12" t="s">
        <v>81</v>
      </c>
      <c r="B97" s="13" t="s">
        <v>44</v>
      </c>
      <c r="C97" s="12" t="s">
        <v>48</v>
      </c>
      <c r="D97" s="14">
        <v>148816.62899999999</v>
      </c>
      <c r="E97" s="14">
        <v>361.25700000000001</v>
      </c>
      <c r="F97" s="14">
        <v>0</v>
      </c>
      <c r="G97" s="14">
        <v>28.797000000000001</v>
      </c>
      <c r="H97" s="14">
        <v>4457.7190000000001</v>
      </c>
      <c r="I97" s="14">
        <v>4847.8</v>
      </c>
      <c r="J97" s="15">
        <v>3.2599999999999997E-2</v>
      </c>
      <c r="K97" s="13" t="s">
        <v>51</v>
      </c>
      <c r="L97" s="12"/>
    </row>
    <row r="98" spans="1:12" x14ac:dyDescent="0.2">
      <c r="A98" s="12" t="s">
        <v>81</v>
      </c>
      <c r="B98" s="13" t="s">
        <v>44</v>
      </c>
      <c r="C98" s="12" t="s">
        <v>49</v>
      </c>
      <c r="D98" s="14">
        <v>109186.827</v>
      </c>
      <c r="E98" s="14">
        <v>21.443999999999999</v>
      </c>
      <c r="F98" s="14">
        <v>0</v>
      </c>
      <c r="G98" s="14">
        <v>197.80199999999999</v>
      </c>
      <c r="H98" s="14">
        <v>1995.3409999999999</v>
      </c>
      <c r="I98" s="14">
        <v>2214.6</v>
      </c>
      <c r="J98" s="15">
        <v>2.0299999999999999E-2</v>
      </c>
      <c r="K98" s="13" t="s">
        <v>51</v>
      </c>
      <c r="L98" s="12"/>
    </row>
  </sheetData>
  <mergeCells count="1">
    <mergeCell ref="A1:L1"/>
  </mergeCells>
  <conditionalFormatting sqref="J3:J98">
    <cfRule type="colorScale" priority="2">
      <colorScale>
        <cfvo type="num" val="0"/>
        <cfvo type="num" val="0.35"/>
        <cfvo type="num" val="0.75"/>
        <color rgb="FF52B788"/>
        <color rgb="FFFFD166"/>
        <color rgb="FFE6394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90"/>
  <sheetViews>
    <sheetView showGridLines="0" tabSelected="1" topLeftCell="C1" zoomScale="136" zoomScaleNormal="100" workbookViewId="0">
      <pane ySplit="2" topLeftCell="A20" activePane="bottomLeft" state="frozen"/>
      <selection pane="bottomLeft" activeCell="J36" sqref="J36"/>
    </sheetView>
  </sheetViews>
  <sheetFormatPr baseColWidth="10" defaultColWidth="8.6640625" defaultRowHeight="15" x14ac:dyDescent="0.2"/>
  <cols>
    <col min="1" max="1" width="12" customWidth="1"/>
    <col min="2" max="2" width="44" customWidth="1"/>
    <col min="3" max="3" width="52" customWidth="1"/>
    <col min="4" max="5" width="10" customWidth="1"/>
    <col min="6" max="6" width="18" customWidth="1"/>
    <col min="7" max="7" width="14" customWidth="1"/>
    <col min="8" max="9" width="10" customWidth="1"/>
    <col min="10" max="11" width="14" customWidth="1"/>
    <col min="12" max="12" width="16" customWidth="1"/>
    <col min="13" max="13" width="18" customWidth="1"/>
    <col min="14" max="14" width="20" customWidth="1"/>
    <col min="15" max="15" width="16" customWidth="1"/>
    <col min="16" max="16" width="60" customWidth="1"/>
    <col min="17" max="18" width="10" customWidth="1"/>
  </cols>
  <sheetData>
    <row r="1" spans="1:18" ht="27.75" customHeight="1" x14ac:dyDescent="0.2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9.75" customHeight="1" x14ac:dyDescent="0.2">
      <c r="A2" s="7" t="s">
        <v>83</v>
      </c>
      <c r="B2" s="7" t="s">
        <v>84</v>
      </c>
      <c r="C2" s="7" t="s">
        <v>85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93</v>
      </c>
      <c r="L2" s="7" t="s">
        <v>94</v>
      </c>
      <c r="M2" s="7" t="s">
        <v>95</v>
      </c>
      <c r="N2" s="7" t="s">
        <v>96</v>
      </c>
      <c r="O2" s="7" t="s">
        <v>97</v>
      </c>
      <c r="P2" s="7" t="s">
        <v>98</v>
      </c>
      <c r="Q2" s="7" t="s">
        <v>99</v>
      </c>
      <c r="R2" s="7" t="s">
        <v>100</v>
      </c>
    </row>
    <row r="3" spans="1:18" ht="26" x14ac:dyDescent="0.2">
      <c r="A3" s="9" t="s">
        <v>115</v>
      </c>
      <c r="B3" s="8" t="s">
        <v>116</v>
      </c>
      <c r="C3" s="8" t="s">
        <v>117</v>
      </c>
      <c r="D3" s="9" t="s">
        <v>104</v>
      </c>
      <c r="E3" s="9" t="s">
        <v>104</v>
      </c>
      <c r="F3" s="8" t="s">
        <v>50</v>
      </c>
      <c r="G3" s="16" t="s">
        <v>105</v>
      </c>
      <c r="H3" s="23" t="s">
        <v>118</v>
      </c>
      <c r="I3" s="9" t="s">
        <v>107</v>
      </c>
      <c r="J3" s="11">
        <v>0</v>
      </c>
      <c r="K3" s="10">
        <v>9197.39</v>
      </c>
      <c r="L3" s="10">
        <v>260039.19996999999</v>
      </c>
      <c r="M3" s="10">
        <v>151082.77518999999</v>
      </c>
      <c r="N3" s="9" t="s">
        <v>119</v>
      </c>
      <c r="O3" s="8" t="s">
        <v>50</v>
      </c>
      <c r="P3" s="18" t="s">
        <v>120</v>
      </c>
      <c r="Q3" s="19">
        <v>47.296936199999998</v>
      </c>
      <c r="R3" s="19">
        <v>11.590344399999999</v>
      </c>
    </row>
    <row r="4" spans="1:18" ht="26" hidden="1" x14ac:dyDescent="0.2">
      <c r="A4" s="9" t="s">
        <v>311</v>
      </c>
      <c r="B4" s="8" t="s">
        <v>312</v>
      </c>
      <c r="C4" s="8" t="s">
        <v>123</v>
      </c>
      <c r="D4" s="9" t="s">
        <v>293</v>
      </c>
      <c r="E4" s="9" t="s">
        <v>293</v>
      </c>
      <c r="F4" s="8" t="s">
        <v>73</v>
      </c>
      <c r="G4" s="16" t="s">
        <v>105</v>
      </c>
      <c r="H4" s="17" t="s">
        <v>106</v>
      </c>
      <c r="I4" s="9" t="s">
        <v>107</v>
      </c>
      <c r="J4" s="11">
        <v>4.0899999999999999E-2</v>
      </c>
      <c r="K4" s="10">
        <v>11440.082</v>
      </c>
      <c r="L4" s="10"/>
      <c r="M4" s="10"/>
      <c r="N4" s="9" t="s">
        <v>245</v>
      </c>
      <c r="O4" s="8" t="s">
        <v>73</v>
      </c>
      <c r="P4" s="18" t="s">
        <v>313</v>
      </c>
      <c r="Q4" s="19"/>
      <c r="R4" s="19"/>
    </row>
    <row r="5" spans="1:18" ht="26" x14ac:dyDescent="0.2">
      <c r="A5" s="9" t="s">
        <v>125</v>
      </c>
      <c r="B5" s="8" t="s">
        <v>126</v>
      </c>
      <c r="C5" s="8" t="s">
        <v>103</v>
      </c>
      <c r="D5" s="9" t="s">
        <v>104</v>
      </c>
      <c r="E5" s="9" t="s">
        <v>104</v>
      </c>
      <c r="F5" s="8" t="s">
        <v>50</v>
      </c>
      <c r="G5" s="24" t="s">
        <v>127</v>
      </c>
      <c r="H5" s="23" t="s">
        <v>118</v>
      </c>
      <c r="I5" s="9" t="s">
        <v>128</v>
      </c>
      <c r="J5" s="11">
        <v>0.32990000000000003</v>
      </c>
      <c r="K5" s="10">
        <v>52637.006000000001</v>
      </c>
      <c r="L5" s="10">
        <v>260039.19996999999</v>
      </c>
      <c r="M5" s="10">
        <v>151082.77518999999</v>
      </c>
      <c r="N5" s="9" t="s">
        <v>119</v>
      </c>
      <c r="O5" s="8" t="s">
        <v>50</v>
      </c>
      <c r="P5" s="18" t="s">
        <v>129</v>
      </c>
      <c r="Q5" s="19">
        <v>48.0250129</v>
      </c>
      <c r="R5" s="19">
        <v>14.7628564</v>
      </c>
    </row>
    <row r="6" spans="1:18" x14ac:dyDescent="0.2">
      <c r="A6" s="9" t="s">
        <v>151</v>
      </c>
      <c r="B6" s="8" t="s">
        <v>152</v>
      </c>
      <c r="C6" s="8" t="s">
        <v>153</v>
      </c>
      <c r="D6" s="9" t="s">
        <v>149</v>
      </c>
      <c r="E6" s="9" t="s">
        <v>149</v>
      </c>
      <c r="F6" s="8" t="s">
        <v>56</v>
      </c>
      <c r="G6" s="16" t="s">
        <v>105</v>
      </c>
      <c r="H6" s="23" t="s">
        <v>118</v>
      </c>
      <c r="I6" s="9" t="s">
        <v>107</v>
      </c>
      <c r="J6" s="9"/>
      <c r="K6" s="26"/>
      <c r="L6" s="10">
        <v>219922.83869999999</v>
      </c>
      <c r="M6" s="10">
        <v>127775.16931</v>
      </c>
      <c r="N6" s="9" t="s">
        <v>119</v>
      </c>
      <c r="O6" s="8" t="s">
        <v>56</v>
      </c>
      <c r="P6" s="18" t="s">
        <v>154</v>
      </c>
      <c r="Q6" s="19">
        <v>49.959665899999997</v>
      </c>
      <c r="R6" s="19">
        <v>16.865391899999999</v>
      </c>
    </row>
    <row r="7" spans="1:18" ht="26" x14ac:dyDescent="0.2">
      <c r="A7" s="9" t="s">
        <v>174</v>
      </c>
      <c r="B7" s="8" t="s">
        <v>175</v>
      </c>
      <c r="C7" s="8" t="s">
        <v>111</v>
      </c>
      <c r="D7" s="9" t="s">
        <v>157</v>
      </c>
      <c r="E7" s="9" t="s">
        <v>157</v>
      </c>
      <c r="F7" s="8" t="s">
        <v>61</v>
      </c>
      <c r="G7" s="16" t="s">
        <v>105</v>
      </c>
      <c r="H7" s="23" t="s">
        <v>118</v>
      </c>
      <c r="I7" s="9" t="s">
        <v>107</v>
      </c>
      <c r="J7" s="11">
        <v>0.41099999999999998</v>
      </c>
      <c r="K7" s="10">
        <v>162640.71799999999</v>
      </c>
      <c r="L7" s="10">
        <v>164844.49997999999</v>
      </c>
      <c r="M7" s="10">
        <v>95774.654496999996</v>
      </c>
      <c r="N7" s="9" t="s">
        <v>119</v>
      </c>
      <c r="O7" s="8" t="s">
        <v>61</v>
      </c>
      <c r="P7" s="18" t="s">
        <v>176</v>
      </c>
      <c r="Q7" s="19">
        <v>49.464846600000001</v>
      </c>
      <c r="R7" s="19">
        <v>8.1099160000000001</v>
      </c>
    </row>
    <row r="8" spans="1:18" ht="26" x14ac:dyDescent="0.2">
      <c r="A8" s="13" t="s">
        <v>223</v>
      </c>
      <c r="B8" s="12" t="s">
        <v>224</v>
      </c>
      <c r="C8" s="12" t="s">
        <v>103</v>
      </c>
      <c r="D8" s="13" t="s">
        <v>206</v>
      </c>
      <c r="E8" s="13" t="s">
        <v>206</v>
      </c>
      <c r="F8" s="12" t="s">
        <v>60</v>
      </c>
      <c r="G8" s="24" t="s">
        <v>127</v>
      </c>
      <c r="H8" s="23" t="s">
        <v>118</v>
      </c>
      <c r="I8" s="13" t="s">
        <v>128</v>
      </c>
      <c r="J8" s="15">
        <v>0</v>
      </c>
      <c r="K8" s="14">
        <v>22116.286</v>
      </c>
      <c r="L8" s="14">
        <v>485789.47366999998</v>
      </c>
      <c r="M8" s="14">
        <v>282243.68419</v>
      </c>
      <c r="N8" s="13" t="s">
        <v>119</v>
      </c>
      <c r="O8" s="12" t="s">
        <v>60</v>
      </c>
      <c r="P8" s="21" t="s">
        <v>225</v>
      </c>
      <c r="Q8" s="22">
        <v>62.382283399999999</v>
      </c>
      <c r="R8" s="22">
        <v>21.2277852</v>
      </c>
    </row>
    <row r="9" spans="1:18" ht="26" x14ac:dyDescent="0.2">
      <c r="A9" s="13" t="s">
        <v>230</v>
      </c>
      <c r="B9" s="12" t="s">
        <v>231</v>
      </c>
      <c r="C9" s="12" t="s">
        <v>103</v>
      </c>
      <c r="D9" s="13" t="s">
        <v>206</v>
      </c>
      <c r="E9" s="13" t="s">
        <v>206</v>
      </c>
      <c r="F9" s="12" t="s">
        <v>60</v>
      </c>
      <c r="G9" s="24" t="s">
        <v>127</v>
      </c>
      <c r="H9" s="23" t="s">
        <v>118</v>
      </c>
      <c r="I9" s="13" t="s">
        <v>128</v>
      </c>
      <c r="J9" s="15">
        <v>0</v>
      </c>
      <c r="K9" s="14">
        <v>22116.286</v>
      </c>
      <c r="L9" s="14">
        <v>485789.47366999998</v>
      </c>
      <c r="M9" s="14">
        <v>282243.68419</v>
      </c>
      <c r="N9" s="13" t="s">
        <v>119</v>
      </c>
      <c r="O9" s="12" t="s">
        <v>60</v>
      </c>
      <c r="P9" s="21" t="s">
        <v>232</v>
      </c>
      <c r="Q9" s="22">
        <v>60.170884999999998</v>
      </c>
      <c r="R9" s="22">
        <v>24.806265</v>
      </c>
    </row>
    <row r="10" spans="1:18" ht="26" x14ac:dyDescent="0.2">
      <c r="A10" s="9" t="s">
        <v>254</v>
      </c>
      <c r="B10" s="8" t="s">
        <v>255</v>
      </c>
      <c r="C10" s="8" t="s">
        <v>103</v>
      </c>
      <c r="D10" s="9" t="s">
        <v>252</v>
      </c>
      <c r="E10" s="9" t="s">
        <v>252</v>
      </c>
      <c r="F10" s="8" t="s">
        <v>65</v>
      </c>
      <c r="G10" s="20" t="s">
        <v>112</v>
      </c>
      <c r="H10" s="23" t="s">
        <v>118</v>
      </c>
      <c r="I10" s="9" t="s">
        <v>113</v>
      </c>
      <c r="J10" s="11">
        <v>0.69689999999999996</v>
      </c>
      <c r="K10" s="10">
        <v>82726.434999999998</v>
      </c>
      <c r="L10" s="10">
        <v>475001.88504999998</v>
      </c>
      <c r="M10" s="10">
        <v>275976.09522999998</v>
      </c>
      <c r="N10" s="9" t="s">
        <v>119</v>
      </c>
      <c r="O10" s="8" t="s">
        <v>65</v>
      </c>
      <c r="P10" s="18" t="s">
        <v>256</v>
      </c>
      <c r="Q10" s="19">
        <v>62.919186000000003</v>
      </c>
      <c r="R10" s="19">
        <v>30.230598000000001</v>
      </c>
    </row>
    <row r="11" spans="1:18" ht="26" x14ac:dyDescent="0.2">
      <c r="A11" s="13" t="s">
        <v>308</v>
      </c>
      <c r="B11" s="12" t="s">
        <v>309</v>
      </c>
      <c r="C11" s="12" t="s">
        <v>103</v>
      </c>
      <c r="D11" s="13" t="s">
        <v>293</v>
      </c>
      <c r="E11" s="13" t="s">
        <v>293</v>
      </c>
      <c r="F11" s="12" t="s">
        <v>73</v>
      </c>
      <c r="G11" s="24" t="s">
        <v>127</v>
      </c>
      <c r="H11" s="23" t="s">
        <v>118</v>
      </c>
      <c r="I11" s="13" t="s">
        <v>128</v>
      </c>
      <c r="J11" s="15">
        <v>0.1789</v>
      </c>
      <c r="K11" s="14">
        <v>3610.076</v>
      </c>
      <c r="L11" s="14">
        <v>23999.999999</v>
      </c>
      <c r="M11" s="14">
        <v>13943.999999</v>
      </c>
      <c r="N11" s="13" t="s">
        <v>119</v>
      </c>
      <c r="O11" s="12" t="s">
        <v>73</v>
      </c>
      <c r="P11" s="21" t="s">
        <v>310</v>
      </c>
      <c r="Q11" s="22">
        <v>46.927179000000002</v>
      </c>
      <c r="R11" s="22">
        <v>18.9365433</v>
      </c>
    </row>
    <row r="12" spans="1:18" ht="26" x14ac:dyDescent="0.2">
      <c r="A12" s="9" t="s">
        <v>369</v>
      </c>
      <c r="B12" s="8" t="s">
        <v>370</v>
      </c>
      <c r="C12" s="8" t="s">
        <v>103</v>
      </c>
      <c r="D12" s="9" t="s">
        <v>371</v>
      </c>
      <c r="E12" s="9" t="s">
        <v>371</v>
      </c>
      <c r="F12" s="8" t="s">
        <v>78</v>
      </c>
      <c r="G12" s="24" t="s">
        <v>127</v>
      </c>
      <c r="H12" s="23" t="s">
        <v>118</v>
      </c>
      <c r="I12" s="9" t="s">
        <v>128</v>
      </c>
      <c r="J12" s="9"/>
      <c r="K12" s="26"/>
      <c r="L12" s="10">
        <v>139524.2409</v>
      </c>
      <c r="M12" s="10">
        <v>81063.583966999999</v>
      </c>
      <c r="N12" s="9" t="s">
        <v>119</v>
      </c>
      <c r="O12" s="8" t="s">
        <v>78</v>
      </c>
      <c r="P12" s="18" t="s">
        <v>372</v>
      </c>
      <c r="Q12" s="19">
        <v>48.863337100000003</v>
      </c>
      <c r="R12" s="19">
        <v>21.728753699999999</v>
      </c>
    </row>
    <row r="13" spans="1:18" ht="26" x14ac:dyDescent="0.2">
      <c r="A13" s="9" t="s">
        <v>376</v>
      </c>
      <c r="B13" s="8" t="s">
        <v>377</v>
      </c>
      <c r="C13" s="8" t="s">
        <v>165</v>
      </c>
      <c r="D13" s="9" t="s">
        <v>378</v>
      </c>
      <c r="E13" s="9" t="s">
        <v>378</v>
      </c>
      <c r="F13" s="8" t="s">
        <v>79</v>
      </c>
      <c r="G13" s="20" t="s">
        <v>112</v>
      </c>
      <c r="H13" s="23" t="s">
        <v>118</v>
      </c>
      <c r="I13" s="9" t="s">
        <v>113</v>
      </c>
      <c r="J13" s="11">
        <v>0.60670000000000002</v>
      </c>
      <c r="K13" s="10">
        <v>4686.0140000000001</v>
      </c>
      <c r="L13" s="10">
        <v>46508.080301000002</v>
      </c>
      <c r="M13" s="10">
        <v>27021.194658</v>
      </c>
      <c r="N13" s="9" t="s">
        <v>119</v>
      </c>
      <c r="O13" s="8" t="s">
        <v>79</v>
      </c>
      <c r="P13" s="18" t="s">
        <v>379</v>
      </c>
      <c r="Q13" s="19">
        <v>45.956176499999998</v>
      </c>
      <c r="R13" s="19">
        <v>15.4921437</v>
      </c>
    </row>
    <row r="14" spans="1:18" ht="26" x14ac:dyDescent="0.2">
      <c r="A14" s="9" t="s">
        <v>383</v>
      </c>
      <c r="B14" s="8" t="s">
        <v>384</v>
      </c>
      <c r="C14" s="8" t="s">
        <v>103</v>
      </c>
      <c r="D14" s="9" t="s">
        <v>277</v>
      </c>
      <c r="E14" s="9" t="s">
        <v>277</v>
      </c>
      <c r="F14" s="8" t="s">
        <v>81</v>
      </c>
      <c r="G14" s="16" t="s">
        <v>105</v>
      </c>
      <c r="H14" s="23" t="s">
        <v>118</v>
      </c>
      <c r="I14" s="9" t="s">
        <v>107</v>
      </c>
      <c r="J14" s="11">
        <v>3.2599999999999997E-2</v>
      </c>
      <c r="K14" s="10">
        <v>148816.62899999999</v>
      </c>
      <c r="L14" s="10">
        <v>201569.08475000001</v>
      </c>
      <c r="M14" s="10">
        <v>117111.638249</v>
      </c>
      <c r="N14" s="9" t="s">
        <v>119</v>
      </c>
      <c r="O14" s="8" t="s">
        <v>81</v>
      </c>
      <c r="P14" s="18" t="s">
        <v>385</v>
      </c>
      <c r="Q14" s="19">
        <v>59.295713941910897</v>
      </c>
      <c r="R14" s="19">
        <v>14.1316787525493</v>
      </c>
    </row>
    <row r="15" spans="1:18" ht="26" x14ac:dyDescent="0.2">
      <c r="A15" s="9" t="s">
        <v>246</v>
      </c>
      <c r="B15" s="8" t="s">
        <v>247</v>
      </c>
      <c r="C15" s="8" t="s">
        <v>103</v>
      </c>
      <c r="D15" s="9" t="s">
        <v>244</v>
      </c>
      <c r="E15" s="9" t="s">
        <v>104</v>
      </c>
      <c r="F15" s="8" t="s">
        <v>50</v>
      </c>
      <c r="G15" s="16" t="s">
        <v>105</v>
      </c>
      <c r="H15" s="23" t="s">
        <v>118</v>
      </c>
      <c r="I15" s="9" t="s">
        <v>107</v>
      </c>
      <c r="J15" s="11">
        <v>0</v>
      </c>
      <c r="K15" s="10">
        <v>9197.39</v>
      </c>
      <c r="L15" s="10">
        <v>485789.47366999998</v>
      </c>
      <c r="M15" s="10">
        <v>282243.68419</v>
      </c>
      <c r="N15" s="9" t="s">
        <v>248</v>
      </c>
      <c r="O15" s="8" t="s">
        <v>50</v>
      </c>
      <c r="P15" s="18" t="s">
        <v>249</v>
      </c>
      <c r="Q15" s="19">
        <v>63.192954999999998</v>
      </c>
      <c r="R15" s="19">
        <v>30.824349999999999</v>
      </c>
    </row>
    <row r="16" spans="1:18" ht="26" x14ac:dyDescent="0.2">
      <c r="A16" s="13" t="s">
        <v>412</v>
      </c>
      <c r="B16" s="12" t="s">
        <v>413</v>
      </c>
      <c r="C16" s="12" t="s">
        <v>165</v>
      </c>
      <c r="D16" s="13" t="s">
        <v>277</v>
      </c>
      <c r="E16" s="13" t="s">
        <v>277</v>
      </c>
      <c r="F16" s="12" t="s">
        <v>81</v>
      </c>
      <c r="G16" s="24" t="s">
        <v>127</v>
      </c>
      <c r="H16" s="23" t="s">
        <v>118</v>
      </c>
      <c r="I16" s="13" t="s">
        <v>128</v>
      </c>
      <c r="J16" s="15">
        <v>2.0299999999999999E-2</v>
      </c>
      <c r="K16" s="14">
        <v>109186.827</v>
      </c>
      <c r="L16" s="14">
        <v>666054.36708999996</v>
      </c>
      <c r="M16" s="14">
        <v>386977.58729</v>
      </c>
      <c r="N16" s="13" t="s">
        <v>403</v>
      </c>
      <c r="O16" s="12" t="s">
        <v>81</v>
      </c>
      <c r="P16" s="21" t="s">
        <v>414</v>
      </c>
      <c r="Q16" s="22">
        <v>57.285002482281499</v>
      </c>
      <c r="R16" s="22">
        <v>12.444261518910301</v>
      </c>
    </row>
    <row r="17" spans="1:18" x14ac:dyDescent="0.2">
      <c r="A17" s="9" t="s">
        <v>275</v>
      </c>
      <c r="B17" s="8" t="s">
        <v>276</v>
      </c>
      <c r="C17" s="8" t="s">
        <v>103</v>
      </c>
      <c r="D17" s="9" t="s">
        <v>252</v>
      </c>
      <c r="E17" s="9" t="s">
        <v>277</v>
      </c>
      <c r="F17" s="8" t="s">
        <v>81</v>
      </c>
      <c r="G17" s="24" t="s">
        <v>127</v>
      </c>
      <c r="H17" s="23" t="s">
        <v>118</v>
      </c>
      <c r="I17" s="9" t="s">
        <v>128</v>
      </c>
      <c r="J17" s="11">
        <v>2.0299999999999999E-2</v>
      </c>
      <c r="K17" s="10">
        <v>109186.827</v>
      </c>
      <c r="L17" s="10">
        <v>187258.46489999999</v>
      </c>
      <c r="M17" s="10">
        <v>108797.16813599999</v>
      </c>
      <c r="N17" s="9" t="s">
        <v>228</v>
      </c>
      <c r="O17" s="8" t="s">
        <v>81</v>
      </c>
      <c r="P17" s="18" t="s">
        <v>278</v>
      </c>
      <c r="Q17" s="19">
        <v>43.831389600000001</v>
      </c>
      <c r="R17" s="19">
        <v>-0.82660900000000004</v>
      </c>
    </row>
    <row r="18" spans="1:18" x14ac:dyDescent="0.2">
      <c r="A18" s="13" t="s">
        <v>139</v>
      </c>
      <c r="B18" s="12" t="s">
        <v>140</v>
      </c>
      <c r="C18" s="12" t="s">
        <v>141</v>
      </c>
      <c r="D18" s="13" t="s">
        <v>136</v>
      </c>
      <c r="E18" s="13" t="s">
        <v>136</v>
      </c>
      <c r="F18" s="12" t="s">
        <v>53</v>
      </c>
      <c r="G18" s="24" t="s">
        <v>127</v>
      </c>
      <c r="H18" s="23" t="s">
        <v>118</v>
      </c>
      <c r="I18" s="13" t="s">
        <v>128</v>
      </c>
      <c r="J18" s="13"/>
      <c r="K18" s="27"/>
      <c r="L18" s="14">
        <v>92820.826667999994</v>
      </c>
      <c r="M18" s="14">
        <v>53928.900287999997</v>
      </c>
      <c r="N18" s="13"/>
      <c r="O18" s="12" t="s">
        <v>53</v>
      </c>
      <c r="P18" s="21" t="s">
        <v>142</v>
      </c>
      <c r="Q18" s="22">
        <v>43.618350999999997</v>
      </c>
      <c r="R18" s="22">
        <v>25.350622399999999</v>
      </c>
    </row>
    <row r="19" spans="1:18" x14ac:dyDescent="0.2">
      <c r="A19" s="13" t="s">
        <v>163</v>
      </c>
      <c r="B19" s="12" t="s">
        <v>164</v>
      </c>
      <c r="C19" s="12" t="s">
        <v>165</v>
      </c>
      <c r="D19" s="13" t="s">
        <v>157</v>
      </c>
      <c r="E19" s="13" t="s">
        <v>157</v>
      </c>
      <c r="F19" s="12" t="s">
        <v>61</v>
      </c>
      <c r="G19" s="16" t="s">
        <v>105</v>
      </c>
      <c r="H19" s="23" t="s">
        <v>118</v>
      </c>
      <c r="I19" s="13" t="s">
        <v>107</v>
      </c>
      <c r="J19" s="15">
        <v>0.41099999999999998</v>
      </c>
      <c r="K19" s="14">
        <v>162640.71799999999</v>
      </c>
      <c r="L19" s="14">
        <v>54016.841808999998</v>
      </c>
      <c r="M19" s="14">
        <v>31383.785093999999</v>
      </c>
      <c r="N19" s="13"/>
      <c r="O19" s="12" t="s">
        <v>61</v>
      </c>
      <c r="P19" s="21" t="s">
        <v>166</v>
      </c>
      <c r="Q19" s="22">
        <v>50.778619800000001</v>
      </c>
      <c r="R19" s="22">
        <v>13.159407399999999</v>
      </c>
    </row>
    <row r="20" spans="1:18" x14ac:dyDescent="0.2">
      <c r="A20" s="9" t="s">
        <v>167</v>
      </c>
      <c r="B20" s="8" t="s">
        <v>168</v>
      </c>
      <c r="C20" s="8" t="s">
        <v>103</v>
      </c>
      <c r="D20" s="9" t="s">
        <v>157</v>
      </c>
      <c r="E20" s="9" t="s">
        <v>157</v>
      </c>
      <c r="F20" s="8" t="s">
        <v>61</v>
      </c>
      <c r="G20" s="16" t="s">
        <v>105</v>
      </c>
      <c r="H20" s="23" t="s">
        <v>118</v>
      </c>
      <c r="I20" s="9" t="s">
        <v>107</v>
      </c>
      <c r="J20" s="11">
        <v>0.41099999999999998</v>
      </c>
      <c r="K20" s="10">
        <v>162640.71799999999</v>
      </c>
      <c r="L20" s="10">
        <v>164844.49997999999</v>
      </c>
      <c r="M20" s="10">
        <v>95774.654496999996</v>
      </c>
      <c r="N20" s="9"/>
      <c r="O20" s="8" t="s">
        <v>61</v>
      </c>
      <c r="P20" s="18" t="s">
        <v>169</v>
      </c>
      <c r="Q20" s="19">
        <v>50.021014899999997</v>
      </c>
      <c r="R20" s="19">
        <v>12.0200894</v>
      </c>
    </row>
    <row r="21" spans="1:18" ht="26" hidden="1" x14ac:dyDescent="0.2">
      <c r="A21" s="13" t="s">
        <v>321</v>
      </c>
      <c r="B21" s="12" t="s">
        <v>322</v>
      </c>
      <c r="C21" s="12" t="s">
        <v>103</v>
      </c>
      <c r="D21" s="13" t="s">
        <v>265</v>
      </c>
      <c r="E21" s="13" t="s">
        <v>319</v>
      </c>
      <c r="F21" s="12" t="s">
        <v>75</v>
      </c>
      <c r="G21" s="16" t="s">
        <v>105</v>
      </c>
      <c r="H21" s="23" t="s">
        <v>118</v>
      </c>
      <c r="I21" s="13" t="s">
        <v>107</v>
      </c>
      <c r="J21" s="15">
        <v>0.45660000000000001</v>
      </c>
      <c r="K21" s="14">
        <v>8440.6730000000007</v>
      </c>
      <c r="L21" s="14"/>
      <c r="M21" s="14"/>
      <c r="N21" s="13" t="s">
        <v>248</v>
      </c>
      <c r="O21" s="12" t="s">
        <v>75</v>
      </c>
      <c r="P21" s="21" t="s">
        <v>323</v>
      </c>
      <c r="Q21" s="22"/>
      <c r="R21" s="22"/>
    </row>
    <row r="22" spans="1:18" ht="26" x14ac:dyDescent="0.2">
      <c r="A22" s="13" t="s">
        <v>339</v>
      </c>
      <c r="B22" s="12" t="s">
        <v>340</v>
      </c>
      <c r="C22" s="12" t="s">
        <v>103</v>
      </c>
      <c r="D22" s="13" t="s">
        <v>265</v>
      </c>
      <c r="E22" s="13" t="s">
        <v>265</v>
      </c>
      <c r="F22" s="12" t="s">
        <v>74</v>
      </c>
      <c r="G22" s="24" t="s">
        <v>127</v>
      </c>
      <c r="H22" s="23" t="s">
        <v>118</v>
      </c>
      <c r="I22" s="13" t="s">
        <v>128</v>
      </c>
      <c r="J22" s="15">
        <v>0.43390000000000001</v>
      </c>
      <c r="K22" s="14">
        <v>1550.0940000000001</v>
      </c>
      <c r="L22" s="14">
        <v>465080.80300999997</v>
      </c>
      <c r="M22" s="14">
        <v>270211.94657999999</v>
      </c>
      <c r="N22" s="13"/>
      <c r="O22" s="12" t="s">
        <v>74</v>
      </c>
      <c r="P22" s="21" t="s">
        <v>341</v>
      </c>
      <c r="Q22" s="22">
        <v>54.356974000000001</v>
      </c>
      <c r="R22" s="22">
        <v>18.485606000000001</v>
      </c>
    </row>
    <row r="23" spans="1:18" x14ac:dyDescent="0.2">
      <c r="A23" s="13" t="s">
        <v>353</v>
      </c>
      <c r="B23" s="12" t="s">
        <v>354</v>
      </c>
      <c r="C23" s="12" t="s">
        <v>153</v>
      </c>
      <c r="D23" s="13" t="s">
        <v>319</v>
      </c>
      <c r="E23" s="13" t="s">
        <v>319</v>
      </c>
      <c r="F23" s="12" t="s">
        <v>75</v>
      </c>
      <c r="G23" s="16" t="s">
        <v>105</v>
      </c>
      <c r="H23" s="23" t="s">
        <v>118</v>
      </c>
      <c r="I23" s="13" t="s">
        <v>107</v>
      </c>
      <c r="J23" s="15">
        <v>0.45660000000000001</v>
      </c>
      <c r="K23" s="14">
        <v>8440.6730000000007</v>
      </c>
      <c r="L23" s="14">
        <v>310879.28573</v>
      </c>
      <c r="M23" s="14">
        <v>180620.86501000001</v>
      </c>
      <c r="N23" s="13"/>
      <c r="O23" s="12" t="s">
        <v>75</v>
      </c>
      <c r="P23" s="21" t="s">
        <v>355</v>
      </c>
      <c r="Q23" s="22">
        <v>38.860380200000002</v>
      </c>
      <c r="R23" s="22">
        <v>-9.1263520000000007</v>
      </c>
    </row>
    <row r="24" spans="1:18" ht="26" x14ac:dyDescent="0.2">
      <c r="A24" s="9" t="s">
        <v>389</v>
      </c>
      <c r="B24" s="8" t="s">
        <v>390</v>
      </c>
      <c r="C24" s="8" t="s">
        <v>103</v>
      </c>
      <c r="D24" s="9" t="s">
        <v>277</v>
      </c>
      <c r="E24" s="9" t="s">
        <v>277</v>
      </c>
      <c r="F24" s="8" t="s">
        <v>81</v>
      </c>
      <c r="G24" s="24" t="s">
        <v>127</v>
      </c>
      <c r="H24" s="23" t="s">
        <v>118</v>
      </c>
      <c r="I24" s="9" t="s">
        <v>128</v>
      </c>
      <c r="J24" s="11">
        <v>2.0299999999999999E-2</v>
      </c>
      <c r="K24" s="10">
        <v>109186.827</v>
      </c>
      <c r="L24" s="10">
        <v>262916.19751000003</v>
      </c>
      <c r="M24" s="10">
        <v>152754.31075</v>
      </c>
      <c r="N24" s="9"/>
      <c r="O24" s="8" t="s">
        <v>81</v>
      </c>
      <c r="P24" s="18" t="s">
        <v>391</v>
      </c>
      <c r="Q24" s="19">
        <v>62.390810999999999</v>
      </c>
      <c r="R24" s="19">
        <v>17.306927000000002</v>
      </c>
    </row>
    <row r="25" spans="1:18" ht="26" hidden="1" x14ac:dyDescent="0.2">
      <c r="A25" s="13" t="s">
        <v>314</v>
      </c>
      <c r="B25" s="12" t="s">
        <v>315</v>
      </c>
      <c r="C25" s="12" t="s">
        <v>165</v>
      </c>
      <c r="D25" s="13" t="s">
        <v>293</v>
      </c>
      <c r="E25" s="13" t="s">
        <v>277</v>
      </c>
      <c r="F25" s="12" t="s">
        <v>81</v>
      </c>
      <c r="G25" s="24" t="s">
        <v>127</v>
      </c>
      <c r="H25" s="17" t="s">
        <v>106</v>
      </c>
      <c r="I25" s="13" t="s">
        <v>128</v>
      </c>
      <c r="J25" s="15">
        <v>2.0299999999999999E-2</v>
      </c>
      <c r="K25" s="14">
        <v>109186.827</v>
      </c>
      <c r="L25" s="14"/>
      <c r="M25" s="14"/>
      <c r="N25" s="13" t="s">
        <v>248</v>
      </c>
      <c r="O25" s="12" t="s">
        <v>81</v>
      </c>
      <c r="P25" s="21" t="s">
        <v>316</v>
      </c>
      <c r="Q25" s="22"/>
      <c r="R25" s="22"/>
    </row>
    <row r="26" spans="1:18" ht="26" hidden="1" x14ac:dyDescent="0.2">
      <c r="A26" s="13" t="s">
        <v>327</v>
      </c>
      <c r="B26" s="12" t="s">
        <v>328</v>
      </c>
      <c r="C26" s="12" t="s">
        <v>123</v>
      </c>
      <c r="D26" s="13" t="s">
        <v>265</v>
      </c>
      <c r="E26" s="13" t="s">
        <v>149</v>
      </c>
      <c r="F26" s="12" t="s">
        <v>56</v>
      </c>
      <c r="G26" s="24" t="s">
        <v>127</v>
      </c>
      <c r="H26" s="17" t="s">
        <v>106</v>
      </c>
      <c r="I26" s="13" t="s">
        <v>128</v>
      </c>
      <c r="J26" s="13"/>
      <c r="K26" s="27"/>
      <c r="L26" s="14"/>
      <c r="M26" s="14"/>
      <c r="N26" s="13" t="s">
        <v>248</v>
      </c>
      <c r="O26" s="12" t="s">
        <v>56</v>
      </c>
      <c r="P26" s="21" t="s">
        <v>329</v>
      </c>
      <c r="Q26" s="22"/>
      <c r="R26" s="22"/>
    </row>
    <row r="27" spans="1:18" x14ac:dyDescent="0.2">
      <c r="A27" s="9" t="s">
        <v>134</v>
      </c>
      <c r="B27" s="8" t="s">
        <v>135</v>
      </c>
      <c r="C27" s="8" t="s">
        <v>103</v>
      </c>
      <c r="D27" s="9" t="s">
        <v>136</v>
      </c>
      <c r="E27" s="9" t="s">
        <v>136</v>
      </c>
      <c r="F27" s="8" t="s">
        <v>53</v>
      </c>
      <c r="G27" s="20" t="s">
        <v>112</v>
      </c>
      <c r="H27" s="34" t="s">
        <v>118</v>
      </c>
      <c r="I27" s="9" t="s">
        <v>113</v>
      </c>
      <c r="J27" s="9"/>
      <c r="K27" s="26"/>
      <c r="L27" s="10">
        <v>92820.826667999994</v>
      </c>
      <c r="M27" s="10">
        <v>53928.900287999997</v>
      </c>
      <c r="N27" s="9" t="s">
        <v>186</v>
      </c>
      <c r="O27" s="8" t="s">
        <v>53</v>
      </c>
      <c r="P27" s="18" t="s">
        <v>138</v>
      </c>
      <c r="Q27" s="19">
        <v>42.134031499999999</v>
      </c>
      <c r="R27" s="19">
        <v>24.5212027</v>
      </c>
    </row>
    <row r="28" spans="1:18" x14ac:dyDescent="0.2">
      <c r="A28" s="13" t="s">
        <v>155</v>
      </c>
      <c r="B28" s="12" t="s">
        <v>156</v>
      </c>
      <c r="C28" s="12" t="s">
        <v>117</v>
      </c>
      <c r="D28" s="13" t="s">
        <v>157</v>
      </c>
      <c r="E28" s="13" t="s">
        <v>157</v>
      </c>
      <c r="F28" s="12" t="s">
        <v>61</v>
      </c>
      <c r="G28" s="16" t="s">
        <v>105</v>
      </c>
      <c r="H28" s="34" t="s">
        <v>118</v>
      </c>
      <c r="I28" s="13" t="s">
        <v>107</v>
      </c>
      <c r="J28" s="15">
        <v>0.41099999999999998</v>
      </c>
      <c r="K28" s="14">
        <v>162640.71799999999</v>
      </c>
      <c r="L28" s="14">
        <v>164844.49997999999</v>
      </c>
      <c r="M28" s="14">
        <v>95774.654496999996</v>
      </c>
      <c r="N28" s="13" t="s">
        <v>119</v>
      </c>
      <c r="O28" s="12" t="s">
        <v>61</v>
      </c>
      <c r="P28" s="21" t="s">
        <v>158</v>
      </c>
      <c r="Q28" s="22">
        <v>49.451553400000002</v>
      </c>
      <c r="R28" s="22">
        <v>8.0629732000000001</v>
      </c>
    </row>
    <row r="29" spans="1:18" x14ac:dyDescent="0.2">
      <c r="A29" s="9" t="s">
        <v>240</v>
      </c>
      <c r="B29" s="8" t="s">
        <v>241</v>
      </c>
      <c r="C29" s="8" t="s">
        <v>103</v>
      </c>
      <c r="D29" s="9" t="s">
        <v>242</v>
      </c>
      <c r="E29" s="9" t="s">
        <v>242</v>
      </c>
      <c r="F29" s="8" t="s">
        <v>62</v>
      </c>
      <c r="G29" s="16" t="s">
        <v>105</v>
      </c>
      <c r="H29" s="34" t="s">
        <v>118</v>
      </c>
      <c r="I29" s="9" t="s">
        <v>113</v>
      </c>
      <c r="J29" s="9"/>
      <c r="K29" s="26"/>
      <c r="L29" s="10">
        <v>490081.30998000002</v>
      </c>
      <c r="M29" s="10">
        <v>284737.24111</v>
      </c>
      <c r="N29" s="9" t="s">
        <v>119</v>
      </c>
      <c r="O29" s="8" t="s">
        <v>62</v>
      </c>
      <c r="P29" s="18" t="s">
        <v>243</v>
      </c>
      <c r="Q29" s="19">
        <v>61.110808300000002</v>
      </c>
      <c r="R29" s="19">
        <v>21.460115200000001</v>
      </c>
    </row>
    <row r="30" spans="1:18" ht="26" hidden="1" x14ac:dyDescent="0.2">
      <c r="A30" s="9" t="s">
        <v>324</v>
      </c>
      <c r="B30" s="8" t="s">
        <v>325</v>
      </c>
      <c r="C30" s="8" t="s">
        <v>103</v>
      </c>
      <c r="D30" s="9" t="s">
        <v>265</v>
      </c>
      <c r="E30" s="9" t="s">
        <v>319</v>
      </c>
      <c r="F30" s="8" t="s">
        <v>75</v>
      </c>
      <c r="G30" s="20" t="s">
        <v>112</v>
      </c>
      <c r="H30" s="25" t="s">
        <v>137</v>
      </c>
      <c r="I30" s="9" t="s">
        <v>113</v>
      </c>
      <c r="J30" s="11">
        <v>0.14050000000000001</v>
      </c>
      <c r="K30" s="10">
        <v>53802.847999999998</v>
      </c>
      <c r="L30" s="10"/>
      <c r="M30" s="10"/>
      <c r="N30" s="9" t="s">
        <v>228</v>
      </c>
      <c r="O30" s="8" t="s">
        <v>75</v>
      </c>
      <c r="P30" s="18" t="s">
        <v>326</v>
      </c>
      <c r="Q30" s="19"/>
      <c r="R30" s="19"/>
    </row>
    <row r="31" spans="1:18" ht="26" x14ac:dyDescent="0.2">
      <c r="A31" s="9" t="s">
        <v>143</v>
      </c>
      <c r="B31" s="8" t="s">
        <v>144</v>
      </c>
      <c r="C31" s="8" t="s">
        <v>103</v>
      </c>
      <c r="D31" s="9" t="s">
        <v>136</v>
      </c>
      <c r="E31" s="9" t="s">
        <v>136</v>
      </c>
      <c r="F31" s="8" t="s">
        <v>53</v>
      </c>
      <c r="G31" s="24" t="s">
        <v>127</v>
      </c>
      <c r="H31" s="34" t="s">
        <v>118</v>
      </c>
      <c r="I31" s="9" t="s">
        <v>128</v>
      </c>
      <c r="J31" s="9"/>
      <c r="K31" s="26"/>
      <c r="L31" s="10">
        <v>92820.826667999994</v>
      </c>
      <c r="M31" s="10">
        <v>53928.900287999997</v>
      </c>
      <c r="N31" s="9" t="s">
        <v>145</v>
      </c>
      <c r="O31" s="8" t="s">
        <v>53</v>
      </c>
      <c r="P31" s="18" t="s">
        <v>146</v>
      </c>
      <c r="Q31" s="19">
        <v>43.635919999999999</v>
      </c>
      <c r="R31" s="19">
        <v>25.304310000000001</v>
      </c>
    </row>
    <row r="32" spans="1:18" ht="26" x14ac:dyDescent="0.2">
      <c r="A32" s="13" t="s">
        <v>250</v>
      </c>
      <c r="B32" s="12" t="s">
        <v>251</v>
      </c>
      <c r="C32" s="12" t="s">
        <v>103</v>
      </c>
      <c r="D32" s="13" t="s">
        <v>252</v>
      </c>
      <c r="E32" s="13" t="s">
        <v>132</v>
      </c>
      <c r="F32" s="12" t="s">
        <v>52</v>
      </c>
      <c r="G32" s="20" t="s">
        <v>112</v>
      </c>
      <c r="H32" s="17" t="s">
        <v>106</v>
      </c>
      <c r="I32" s="13" t="s">
        <v>113</v>
      </c>
      <c r="J32" s="15">
        <v>3.9199999999999999E-2</v>
      </c>
      <c r="K32" s="14">
        <v>22562.815999999999</v>
      </c>
      <c r="L32" s="14">
        <v>256350.22373999999</v>
      </c>
      <c r="M32" s="14">
        <v>148939.48001999999</v>
      </c>
      <c r="N32" s="13" t="s">
        <v>248</v>
      </c>
      <c r="O32" s="12" t="s">
        <v>52</v>
      </c>
      <c r="P32" s="21" t="s">
        <v>253</v>
      </c>
      <c r="Q32" s="22">
        <v>62.319583100000003</v>
      </c>
      <c r="R32" s="22">
        <v>27.8991735</v>
      </c>
    </row>
    <row r="33" spans="1:18" ht="26" x14ac:dyDescent="0.2">
      <c r="A33" s="13" t="s">
        <v>263</v>
      </c>
      <c r="B33" s="12" t="s">
        <v>264</v>
      </c>
      <c r="C33" s="12" t="s">
        <v>103</v>
      </c>
      <c r="D33" s="13" t="s">
        <v>252</v>
      </c>
      <c r="E33" s="13" t="s">
        <v>265</v>
      </c>
      <c r="F33" s="12" t="s">
        <v>74</v>
      </c>
      <c r="G33" s="20" t="s">
        <v>112</v>
      </c>
      <c r="H33" s="17" t="s">
        <v>106</v>
      </c>
      <c r="I33" s="13" t="s">
        <v>113</v>
      </c>
      <c r="J33" s="15">
        <v>0.2429</v>
      </c>
      <c r="K33" s="14">
        <v>59148.790999999997</v>
      </c>
      <c r="L33" s="14">
        <v>603176.99694999994</v>
      </c>
      <c r="M33" s="14">
        <v>350445.83519999997</v>
      </c>
      <c r="N33" s="13" t="s">
        <v>248</v>
      </c>
      <c r="O33" s="12" t="s">
        <v>74</v>
      </c>
      <c r="P33" s="21" t="s">
        <v>266</v>
      </c>
      <c r="Q33" s="22">
        <v>63.701563</v>
      </c>
      <c r="R33" s="22">
        <v>22.706674</v>
      </c>
    </row>
    <row r="34" spans="1:18" ht="26" x14ac:dyDescent="0.2">
      <c r="A34" s="13" t="s">
        <v>279</v>
      </c>
      <c r="B34" s="12" t="s">
        <v>280</v>
      </c>
      <c r="C34" s="12" t="s">
        <v>123</v>
      </c>
      <c r="D34" s="13" t="s">
        <v>252</v>
      </c>
      <c r="E34" s="13" t="s">
        <v>206</v>
      </c>
      <c r="F34" s="12" t="s">
        <v>60</v>
      </c>
      <c r="G34" s="16" t="s">
        <v>105</v>
      </c>
      <c r="H34" s="17" t="s">
        <v>106</v>
      </c>
      <c r="I34" s="13" t="s">
        <v>107</v>
      </c>
      <c r="J34" s="15">
        <v>0.43640000000000001</v>
      </c>
      <c r="K34" s="14">
        <v>51435.385000000002</v>
      </c>
      <c r="L34" s="14">
        <v>148763.11110000001</v>
      </c>
      <c r="M34" s="14">
        <v>86431.367557000005</v>
      </c>
      <c r="N34" s="13" t="s">
        <v>248</v>
      </c>
      <c r="O34" s="12" t="s">
        <v>60</v>
      </c>
      <c r="P34" s="21" t="s">
        <v>281</v>
      </c>
      <c r="Q34" s="22">
        <v>44.629660999999999</v>
      </c>
      <c r="R34" s="22">
        <v>-0.97518800000000005</v>
      </c>
    </row>
    <row r="35" spans="1:18" x14ac:dyDescent="0.2">
      <c r="A35" s="9" t="s">
        <v>401</v>
      </c>
      <c r="B35" s="8" t="s">
        <v>402</v>
      </c>
      <c r="C35" s="8" t="s">
        <v>165</v>
      </c>
      <c r="D35" s="9" t="s">
        <v>277</v>
      </c>
      <c r="E35" s="9" t="s">
        <v>277</v>
      </c>
      <c r="F35" s="8" t="s">
        <v>81</v>
      </c>
      <c r="G35" s="24" t="s">
        <v>127</v>
      </c>
      <c r="H35" s="17" t="s">
        <v>106</v>
      </c>
      <c r="I35" s="9" t="s">
        <v>128</v>
      </c>
      <c r="J35" s="11">
        <v>2.0299999999999999E-2</v>
      </c>
      <c r="K35" s="10">
        <v>109186.827</v>
      </c>
      <c r="L35" s="10">
        <v>657290.49378999998</v>
      </c>
      <c r="M35" s="10">
        <v>381885.77688000002</v>
      </c>
      <c r="N35" s="9" t="s">
        <v>403</v>
      </c>
      <c r="O35" s="8" t="s">
        <v>81</v>
      </c>
      <c r="P35" s="18" t="s">
        <v>404</v>
      </c>
      <c r="Q35" s="19">
        <v>57.0932528661614</v>
      </c>
      <c r="R35" s="19">
        <v>16.553121505619199</v>
      </c>
    </row>
    <row r="36" spans="1:18" x14ac:dyDescent="0.2">
      <c r="A36" s="9" t="s">
        <v>415</v>
      </c>
      <c r="B36" s="8" t="s">
        <v>416</v>
      </c>
      <c r="C36" s="8" t="s">
        <v>103</v>
      </c>
      <c r="D36" s="9" t="s">
        <v>277</v>
      </c>
      <c r="E36" s="9" t="s">
        <v>277</v>
      </c>
      <c r="F36" s="8" t="s">
        <v>81</v>
      </c>
      <c r="G36" s="24" t="s">
        <v>127</v>
      </c>
      <c r="H36" s="17" t="s">
        <v>106</v>
      </c>
      <c r="I36" s="9" t="s">
        <v>128</v>
      </c>
      <c r="J36" s="11">
        <v>2.0299999999999999E-2</v>
      </c>
      <c r="K36" s="10">
        <v>109186.827</v>
      </c>
      <c r="L36" s="10">
        <v>613471.12751999998</v>
      </c>
      <c r="M36" s="10">
        <v>356426.72514</v>
      </c>
      <c r="N36" s="9" t="s">
        <v>403</v>
      </c>
      <c r="O36" s="8" t="s">
        <v>81</v>
      </c>
      <c r="P36" s="18" t="s">
        <v>417</v>
      </c>
      <c r="Q36" s="19">
        <v>57.260004010000301</v>
      </c>
      <c r="R36" s="19">
        <v>12.176971871911601</v>
      </c>
    </row>
    <row r="37" spans="1:18" ht="26" x14ac:dyDescent="0.2">
      <c r="A37" s="9" t="s">
        <v>226</v>
      </c>
      <c r="B37" s="8" t="s">
        <v>227</v>
      </c>
      <c r="C37" s="8" t="s">
        <v>103</v>
      </c>
      <c r="D37" s="9" t="s">
        <v>206</v>
      </c>
      <c r="E37" s="9" t="s">
        <v>200</v>
      </c>
      <c r="F37" s="8" t="s">
        <v>80</v>
      </c>
      <c r="G37" s="20" t="s">
        <v>112</v>
      </c>
      <c r="H37" s="17" t="s">
        <v>106</v>
      </c>
      <c r="I37" s="9" t="s">
        <v>113</v>
      </c>
      <c r="J37" s="11">
        <v>0.33400000000000002</v>
      </c>
      <c r="K37" s="10">
        <v>72398.777000000002</v>
      </c>
      <c r="L37" s="10">
        <v>485789.47366999998</v>
      </c>
      <c r="M37" s="10">
        <v>282243.68419</v>
      </c>
      <c r="N37" s="9" t="s">
        <v>228</v>
      </c>
      <c r="O37" s="8" t="s">
        <v>80</v>
      </c>
      <c r="P37" s="18" t="s">
        <v>229</v>
      </c>
      <c r="Q37" s="19">
        <v>61.128238099999997</v>
      </c>
      <c r="R37" s="19">
        <v>28.4669153</v>
      </c>
    </row>
    <row r="38" spans="1:18" ht="26" x14ac:dyDescent="0.2">
      <c r="A38" s="9" t="s">
        <v>267</v>
      </c>
      <c r="B38" s="8" t="s">
        <v>268</v>
      </c>
      <c r="C38" s="8" t="s">
        <v>103</v>
      </c>
      <c r="D38" s="9" t="s">
        <v>252</v>
      </c>
      <c r="E38" s="9" t="s">
        <v>157</v>
      </c>
      <c r="F38" s="8" t="s">
        <v>61</v>
      </c>
      <c r="G38" s="16" t="s">
        <v>105</v>
      </c>
      <c r="H38" s="17" t="s">
        <v>106</v>
      </c>
      <c r="I38" s="9" t="s">
        <v>107</v>
      </c>
      <c r="J38" s="11">
        <v>0.41099999999999998</v>
      </c>
      <c r="K38" s="10">
        <v>162640.71799999999</v>
      </c>
      <c r="L38" s="10">
        <v>490081.30998000002</v>
      </c>
      <c r="M38" s="10">
        <v>284737.24111</v>
      </c>
      <c r="N38" s="9" t="s">
        <v>228</v>
      </c>
      <c r="O38" s="8" t="s">
        <v>61</v>
      </c>
      <c r="P38" s="18" t="s">
        <v>269</v>
      </c>
      <c r="Q38" s="19">
        <v>61.111671000000001</v>
      </c>
      <c r="R38" s="19">
        <v>21.466298999999999</v>
      </c>
    </row>
    <row r="39" spans="1:18" ht="26" hidden="1" x14ac:dyDescent="0.2">
      <c r="A39" s="9" t="s">
        <v>317</v>
      </c>
      <c r="B39" s="8" t="s">
        <v>318</v>
      </c>
      <c r="C39" s="8" t="s">
        <v>103</v>
      </c>
      <c r="D39" s="9" t="s">
        <v>265</v>
      </c>
      <c r="E39" s="9" t="s">
        <v>319</v>
      </c>
      <c r="F39" s="8" t="s">
        <v>75</v>
      </c>
      <c r="G39" s="24" t="s">
        <v>127</v>
      </c>
      <c r="H39" s="17" t="s">
        <v>106</v>
      </c>
      <c r="I39" s="9" t="s">
        <v>128</v>
      </c>
      <c r="J39" s="11">
        <v>8.1699999999999995E-2</v>
      </c>
      <c r="K39" s="10">
        <v>45362.175000000003</v>
      </c>
      <c r="L39" s="10"/>
      <c r="M39" s="10"/>
      <c r="N39" s="9" t="s">
        <v>228</v>
      </c>
      <c r="O39" s="8" t="s">
        <v>75</v>
      </c>
      <c r="P39" s="18" t="s">
        <v>320</v>
      </c>
      <c r="Q39" s="19"/>
      <c r="R39" s="19"/>
    </row>
    <row r="40" spans="1:18" ht="26" hidden="1" x14ac:dyDescent="0.2">
      <c r="A40" s="13" t="s">
        <v>334</v>
      </c>
      <c r="B40" s="12" t="s">
        <v>335</v>
      </c>
      <c r="C40" s="12" t="s">
        <v>123</v>
      </c>
      <c r="D40" s="13" t="s">
        <v>265</v>
      </c>
      <c r="E40" s="13" t="s">
        <v>277</v>
      </c>
      <c r="F40" s="12" t="s">
        <v>81</v>
      </c>
      <c r="G40" s="16" t="s">
        <v>105</v>
      </c>
      <c r="H40" s="17" t="s">
        <v>106</v>
      </c>
      <c r="I40" s="13" t="s">
        <v>107</v>
      </c>
      <c r="J40" s="15">
        <v>3.2599999999999997E-2</v>
      </c>
      <c r="K40" s="14">
        <v>148816.62899999999</v>
      </c>
      <c r="L40" s="14"/>
      <c r="M40" s="14"/>
      <c r="N40" s="13" t="s">
        <v>228</v>
      </c>
      <c r="O40" s="12" t="s">
        <v>81</v>
      </c>
      <c r="P40" s="21" t="s">
        <v>336</v>
      </c>
      <c r="Q40" s="22"/>
      <c r="R40" s="22"/>
    </row>
    <row r="41" spans="1:18" hidden="1" x14ac:dyDescent="0.2">
      <c r="A41" s="9" t="s">
        <v>337</v>
      </c>
      <c r="B41" s="8" t="s">
        <v>338</v>
      </c>
      <c r="C41" s="8" t="s">
        <v>103</v>
      </c>
      <c r="D41" s="9" t="s">
        <v>265</v>
      </c>
      <c r="E41" s="9" t="s">
        <v>277</v>
      </c>
      <c r="F41" s="8" t="s">
        <v>81</v>
      </c>
      <c r="G41" s="24" t="s">
        <v>127</v>
      </c>
      <c r="H41" s="17" t="s">
        <v>106</v>
      </c>
      <c r="I41" s="9" t="s">
        <v>128</v>
      </c>
      <c r="J41" s="11">
        <v>2.0299999999999999E-2</v>
      </c>
      <c r="K41" s="10">
        <v>109186.827</v>
      </c>
      <c r="L41" s="10"/>
      <c r="M41" s="10"/>
      <c r="N41" s="9" t="s">
        <v>228</v>
      </c>
      <c r="O41" s="8" t="s">
        <v>81</v>
      </c>
      <c r="P41" s="18" t="s">
        <v>278</v>
      </c>
      <c r="Q41" s="19"/>
      <c r="R41" s="19"/>
    </row>
    <row r="42" spans="1:18" ht="26" x14ac:dyDescent="0.2">
      <c r="A42" s="13" t="s">
        <v>270</v>
      </c>
      <c r="B42" s="12" t="s">
        <v>271</v>
      </c>
      <c r="C42" s="12" t="s">
        <v>103</v>
      </c>
      <c r="D42" s="13" t="s">
        <v>252</v>
      </c>
      <c r="E42" s="13" t="s">
        <v>272</v>
      </c>
      <c r="F42" s="12" t="s">
        <v>273</v>
      </c>
      <c r="G42" s="16" t="s">
        <v>105</v>
      </c>
      <c r="H42" s="17" t="s">
        <v>106</v>
      </c>
      <c r="I42" s="13" t="s">
        <v>107</v>
      </c>
      <c r="J42" s="13"/>
      <c r="K42" s="27"/>
      <c r="L42" s="14">
        <v>73766.211618999994</v>
      </c>
      <c r="M42" s="14">
        <v>42858.168947999999</v>
      </c>
      <c r="N42" s="13" t="s">
        <v>228</v>
      </c>
      <c r="O42" s="12"/>
      <c r="P42" s="21" t="s">
        <v>274</v>
      </c>
      <c r="Q42" s="22">
        <v>49.033011199999997</v>
      </c>
      <c r="R42" s="22">
        <v>3.3935335000000002</v>
      </c>
    </row>
    <row r="43" spans="1:18" ht="26" hidden="1" x14ac:dyDescent="0.2">
      <c r="A43" s="9" t="s">
        <v>330</v>
      </c>
      <c r="B43" s="8" t="s">
        <v>331</v>
      </c>
      <c r="C43" s="8" t="s">
        <v>103</v>
      </c>
      <c r="D43" s="9" t="s">
        <v>265</v>
      </c>
      <c r="E43" s="9" t="s">
        <v>157</v>
      </c>
      <c r="F43" s="8" t="s">
        <v>61</v>
      </c>
      <c r="G43" s="16" t="s">
        <v>105</v>
      </c>
      <c r="H43" s="17" t="s">
        <v>106</v>
      </c>
      <c r="I43" s="9" t="s">
        <v>107</v>
      </c>
      <c r="J43" s="11">
        <v>0.41099999999999998</v>
      </c>
      <c r="K43" s="10">
        <v>162640.71799999999</v>
      </c>
      <c r="L43" s="10"/>
      <c r="M43" s="10"/>
      <c r="N43" s="9" t="s">
        <v>332</v>
      </c>
      <c r="O43" s="8" t="s">
        <v>61</v>
      </c>
      <c r="P43" s="18" t="s">
        <v>333</v>
      </c>
      <c r="Q43" s="19"/>
      <c r="R43" s="19"/>
    </row>
    <row r="44" spans="1:18" ht="26" x14ac:dyDescent="0.2">
      <c r="A44" s="9" t="s">
        <v>282</v>
      </c>
      <c r="B44" s="8" t="s">
        <v>283</v>
      </c>
      <c r="C44" s="8" t="s">
        <v>103</v>
      </c>
      <c r="D44" s="9" t="s">
        <v>284</v>
      </c>
      <c r="E44" s="9" t="s">
        <v>277</v>
      </c>
      <c r="F44" s="8" t="s">
        <v>81</v>
      </c>
      <c r="G44" s="20" t="s">
        <v>112</v>
      </c>
      <c r="H44" s="17" t="s">
        <v>106</v>
      </c>
      <c r="I44" s="9" t="s">
        <v>113</v>
      </c>
      <c r="J44" s="11">
        <v>2.7400000000000001E-2</v>
      </c>
      <c r="K44" s="10">
        <v>258003.45600000001</v>
      </c>
      <c r="L44" s="10">
        <v>148763.11110000001</v>
      </c>
      <c r="M44" s="10">
        <v>86431.367557000005</v>
      </c>
      <c r="N44" s="9" t="s">
        <v>228</v>
      </c>
      <c r="O44" s="8" t="s">
        <v>81</v>
      </c>
      <c r="P44" s="18" t="s">
        <v>285</v>
      </c>
      <c r="Q44" s="19">
        <v>48.210464000000002</v>
      </c>
      <c r="R44" s="19">
        <v>6.4256489999999999</v>
      </c>
    </row>
    <row r="45" spans="1:18" ht="26" x14ac:dyDescent="0.2">
      <c r="A45" s="13" t="s">
        <v>286</v>
      </c>
      <c r="B45" s="12" t="s">
        <v>287</v>
      </c>
      <c r="C45" s="12" t="s">
        <v>103</v>
      </c>
      <c r="D45" s="13" t="s">
        <v>284</v>
      </c>
      <c r="E45" s="13" t="s">
        <v>288</v>
      </c>
      <c r="F45" s="12" t="s">
        <v>289</v>
      </c>
      <c r="G45" s="20" t="s">
        <v>112</v>
      </c>
      <c r="H45" s="17" t="s">
        <v>106</v>
      </c>
      <c r="I45" s="13" t="s">
        <v>113</v>
      </c>
      <c r="J45" s="13"/>
      <c r="K45" s="27"/>
      <c r="L45" s="14">
        <v>148763.11110000001</v>
      </c>
      <c r="M45" s="14">
        <v>86431.367557000005</v>
      </c>
      <c r="N45" s="13" t="s">
        <v>228</v>
      </c>
      <c r="O45" s="12"/>
      <c r="P45" s="21" t="s">
        <v>290</v>
      </c>
      <c r="Q45" s="22">
        <v>44.207946</v>
      </c>
      <c r="R45" s="22">
        <v>-1.2492650000000001</v>
      </c>
    </row>
    <row r="46" spans="1:18" ht="26" x14ac:dyDescent="0.2">
      <c r="A46" s="9" t="s">
        <v>291</v>
      </c>
      <c r="B46" s="8" t="s">
        <v>292</v>
      </c>
      <c r="C46" s="8" t="s">
        <v>141</v>
      </c>
      <c r="D46" s="9" t="s">
        <v>284</v>
      </c>
      <c r="E46" s="9" t="s">
        <v>293</v>
      </c>
      <c r="F46" s="8" t="s">
        <v>73</v>
      </c>
      <c r="G46" s="24" t="s">
        <v>127</v>
      </c>
      <c r="H46" s="17" t="s">
        <v>106</v>
      </c>
      <c r="I46" s="9" t="s">
        <v>128</v>
      </c>
      <c r="J46" s="11">
        <v>0.1789</v>
      </c>
      <c r="K46" s="10">
        <v>3610.076</v>
      </c>
      <c r="L46" s="10">
        <v>148763.11110000001</v>
      </c>
      <c r="M46" s="10">
        <v>86431.367557000005</v>
      </c>
      <c r="N46" s="9" t="s">
        <v>228</v>
      </c>
      <c r="O46" s="8" t="s">
        <v>73</v>
      </c>
      <c r="P46" s="18" t="s">
        <v>294</v>
      </c>
      <c r="Q46" s="19">
        <v>45.876393</v>
      </c>
      <c r="R46" s="19">
        <v>0.81742800000000004</v>
      </c>
    </row>
    <row r="47" spans="1:18" ht="26" x14ac:dyDescent="0.2">
      <c r="A47" s="13" t="s">
        <v>295</v>
      </c>
      <c r="B47" s="12" t="s">
        <v>296</v>
      </c>
      <c r="C47" s="12" t="s">
        <v>103</v>
      </c>
      <c r="D47" s="13" t="s">
        <v>284</v>
      </c>
      <c r="E47" s="13" t="s">
        <v>277</v>
      </c>
      <c r="F47" s="12" t="s">
        <v>81</v>
      </c>
      <c r="G47" s="24" t="s">
        <v>127</v>
      </c>
      <c r="H47" s="17" t="s">
        <v>106</v>
      </c>
      <c r="I47" s="13" t="s">
        <v>128</v>
      </c>
      <c r="J47" s="15">
        <v>2.0299999999999999E-2</v>
      </c>
      <c r="K47" s="14">
        <v>109186.827</v>
      </c>
      <c r="L47" s="14">
        <v>158885.40161</v>
      </c>
      <c r="M47" s="14">
        <v>92312.418336000002</v>
      </c>
      <c r="N47" s="13" t="s">
        <v>228</v>
      </c>
      <c r="O47" s="12" t="s">
        <v>81</v>
      </c>
      <c r="P47" s="21" t="s">
        <v>297</v>
      </c>
      <c r="Q47" s="22">
        <v>43.096501000000004</v>
      </c>
      <c r="R47" s="22">
        <v>0.72679499999999997</v>
      </c>
    </row>
    <row r="48" spans="1:18" ht="26" x14ac:dyDescent="0.2">
      <c r="A48" s="13" t="s">
        <v>302</v>
      </c>
      <c r="B48" s="12" t="s">
        <v>303</v>
      </c>
      <c r="C48" s="12" t="s">
        <v>103</v>
      </c>
      <c r="D48" s="13" t="s">
        <v>300</v>
      </c>
      <c r="E48" s="13" t="s">
        <v>288</v>
      </c>
      <c r="F48" s="12" t="s">
        <v>289</v>
      </c>
      <c r="G48" s="16" t="s">
        <v>105</v>
      </c>
      <c r="H48" s="17" t="s">
        <v>106</v>
      </c>
      <c r="I48" s="13" t="s">
        <v>107</v>
      </c>
      <c r="J48" s="13"/>
      <c r="K48" s="27"/>
      <c r="L48" s="14">
        <v>19790.000003000001</v>
      </c>
      <c r="M48" s="14">
        <v>11497.9899996</v>
      </c>
      <c r="N48" s="13" t="s">
        <v>228</v>
      </c>
      <c r="O48" s="12"/>
      <c r="P48" s="21" t="s">
        <v>304</v>
      </c>
      <c r="Q48" s="22">
        <v>45.856660536569997</v>
      </c>
      <c r="R48" s="22">
        <v>17.3978741551187</v>
      </c>
    </row>
    <row r="49" spans="1:18" x14ac:dyDescent="0.2">
      <c r="A49" s="9" t="s">
        <v>188</v>
      </c>
      <c r="B49" s="8" t="s">
        <v>189</v>
      </c>
      <c r="C49" s="8" t="s">
        <v>185</v>
      </c>
      <c r="D49" s="9" t="s">
        <v>157</v>
      </c>
      <c r="E49" s="9" t="s">
        <v>157</v>
      </c>
      <c r="F49" s="8" t="s">
        <v>61</v>
      </c>
      <c r="G49" s="20" t="s">
        <v>112</v>
      </c>
      <c r="H49" s="17" t="s">
        <v>106</v>
      </c>
      <c r="I49" s="9" t="s">
        <v>113</v>
      </c>
      <c r="J49" s="11">
        <v>0.38140000000000002</v>
      </c>
      <c r="K49" s="10">
        <v>181262.15900000001</v>
      </c>
      <c r="L49" s="10">
        <v>164844.49997999999</v>
      </c>
      <c r="M49" s="10">
        <v>95774.654496999996</v>
      </c>
      <c r="N49" s="9" t="s">
        <v>190</v>
      </c>
      <c r="O49" s="8" t="s">
        <v>61</v>
      </c>
      <c r="P49" s="18" t="s">
        <v>191</v>
      </c>
      <c r="Q49" s="19">
        <v>49.976239999999997</v>
      </c>
      <c r="R49" s="19">
        <v>9.0696999999999992</v>
      </c>
    </row>
    <row r="50" spans="1:18" ht="26" x14ac:dyDescent="0.2">
      <c r="A50" s="13" t="s">
        <v>183</v>
      </c>
      <c r="B50" s="12" t="s">
        <v>184</v>
      </c>
      <c r="C50" s="12" t="s">
        <v>185</v>
      </c>
      <c r="D50" s="13" t="s">
        <v>157</v>
      </c>
      <c r="E50" s="13" t="s">
        <v>157</v>
      </c>
      <c r="F50" s="12" t="s">
        <v>61</v>
      </c>
      <c r="G50" s="20" t="s">
        <v>112</v>
      </c>
      <c r="H50" s="17" t="s">
        <v>106</v>
      </c>
      <c r="I50" s="13" t="s">
        <v>113</v>
      </c>
      <c r="J50" s="15">
        <v>0.38140000000000002</v>
      </c>
      <c r="K50" s="14">
        <v>181262.15900000001</v>
      </c>
      <c r="L50" s="14">
        <v>164844.49997999999</v>
      </c>
      <c r="M50" s="14">
        <v>95774.654496999996</v>
      </c>
      <c r="N50" s="13" t="s">
        <v>186</v>
      </c>
      <c r="O50" s="12" t="s">
        <v>61</v>
      </c>
      <c r="P50" s="21" t="s">
        <v>187</v>
      </c>
      <c r="Q50" s="22">
        <v>49.977319799999997</v>
      </c>
      <c r="R50" s="22">
        <v>9.0663251999999996</v>
      </c>
    </row>
    <row r="51" spans="1:18" x14ac:dyDescent="0.2">
      <c r="A51" s="9" t="s">
        <v>101</v>
      </c>
      <c r="B51" s="8" t="s">
        <v>102</v>
      </c>
      <c r="C51" s="8" t="s">
        <v>103</v>
      </c>
      <c r="D51" s="9" t="s">
        <v>104</v>
      </c>
      <c r="E51" s="9" t="s">
        <v>104</v>
      </c>
      <c r="F51" s="8" t="s">
        <v>50</v>
      </c>
      <c r="G51" s="16" t="s">
        <v>105</v>
      </c>
      <c r="H51" s="17" t="s">
        <v>106</v>
      </c>
      <c r="I51" s="9" t="s">
        <v>107</v>
      </c>
      <c r="J51" s="11">
        <v>0</v>
      </c>
      <c r="K51" s="10">
        <v>9197.39</v>
      </c>
      <c r="L51" s="10">
        <v>260039.19996999999</v>
      </c>
      <c r="M51" s="10">
        <v>151082.77518999999</v>
      </c>
      <c r="N51" s="9"/>
      <c r="O51" s="8" t="s">
        <v>50</v>
      </c>
      <c r="P51" s="18" t="s">
        <v>108</v>
      </c>
      <c r="Q51" s="19">
        <v>47.9770957</v>
      </c>
      <c r="R51" s="19">
        <v>13.8161934</v>
      </c>
    </row>
    <row r="52" spans="1:18" x14ac:dyDescent="0.2">
      <c r="A52" s="13" t="s">
        <v>109</v>
      </c>
      <c r="B52" s="12" t="s">
        <v>110</v>
      </c>
      <c r="C52" s="12" t="s">
        <v>111</v>
      </c>
      <c r="D52" s="13" t="s">
        <v>104</v>
      </c>
      <c r="E52" s="13" t="s">
        <v>104</v>
      </c>
      <c r="F52" s="12" t="s">
        <v>50</v>
      </c>
      <c r="G52" s="20" t="s">
        <v>112</v>
      </c>
      <c r="H52" s="17" t="s">
        <v>106</v>
      </c>
      <c r="I52" s="13" t="s">
        <v>113</v>
      </c>
      <c r="J52" s="15">
        <v>0.28089999999999998</v>
      </c>
      <c r="K52" s="14">
        <v>61834.396000000001</v>
      </c>
      <c r="L52" s="14">
        <v>260039.19996999999</v>
      </c>
      <c r="M52" s="14">
        <v>151082.77518999999</v>
      </c>
      <c r="N52" s="13"/>
      <c r="O52" s="12" t="s">
        <v>50</v>
      </c>
      <c r="P52" s="21" t="s">
        <v>114</v>
      </c>
      <c r="Q52" s="22">
        <v>48.073230500000001</v>
      </c>
      <c r="R52" s="22">
        <v>14.8091594</v>
      </c>
    </row>
    <row r="53" spans="1:18" ht="26" x14ac:dyDescent="0.2">
      <c r="A53" s="13" t="s">
        <v>121</v>
      </c>
      <c r="B53" s="12" t="s">
        <v>122</v>
      </c>
      <c r="C53" s="12" t="s">
        <v>123</v>
      </c>
      <c r="D53" s="13" t="s">
        <v>104</v>
      </c>
      <c r="E53" s="13" t="s">
        <v>104</v>
      </c>
      <c r="F53" s="12" t="s">
        <v>50</v>
      </c>
      <c r="G53" s="16" t="s">
        <v>105</v>
      </c>
      <c r="H53" s="17" t="s">
        <v>106</v>
      </c>
      <c r="I53" s="13" t="s">
        <v>107</v>
      </c>
      <c r="J53" s="15">
        <v>0</v>
      </c>
      <c r="K53" s="14">
        <v>9197.39</v>
      </c>
      <c r="L53" s="14">
        <v>260039.19996999999</v>
      </c>
      <c r="M53" s="14">
        <v>151082.77518999999</v>
      </c>
      <c r="N53" s="13"/>
      <c r="O53" s="12" t="s">
        <v>50</v>
      </c>
      <c r="P53" s="21" t="s">
        <v>124</v>
      </c>
      <c r="Q53" s="22">
        <v>47.991549399999997</v>
      </c>
      <c r="R53" s="22">
        <v>13.8000831</v>
      </c>
    </row>
    <row r="54" spans="1:18" x14ac:dyDescent="0.2">
      <c r="A54" s="13" t="s">
        <v>130</v>
      </c>
      <c r="B54" s="12" t="s">
        <v>131</v>
      </c>
      <c r="C54" s="12" t="s">
        <v>111</v>
      </c>
      <c r="D54" s="13" t="s">
        <v>132</v>
      </c>
      <c r="E54" s="13" t="s">
        <v>132</v>
      </c>
      <c r="F54" s="12" t="s">
        <v>52</v>
      </c>
      <c r="G54" s="20" t="s">
        <v>112</v>
      </c>
      <c r="H54" s="17" t="s">
        <v>106</v>
      </c>
      <c r="I54" s="13" t="s">
        <v>113</v>
      </c>
      <c r="J54" s="15">
        <v>3.9199999999999999E-2</v>
      </c>
      <c r="K54" s="14">
        <v>22562.815999999999</v>
      </c>
      <c r="L54" s="14">
        <v>324790.00001999998</v>
      </c>
      <c r="M54" s="14">
        <v>188702.99004</v>
      </c>
      <c r="N54" s="13"/>
      <c r="O54" s="12" t="s">
        <v>52</v>
      </c>
      <c r="P54" s="21" t="s">
        <v>133</v>
      </c>
      <c r="Q54" s="22">
        <v>49.551827400000001</v>
      </c>
      <c r="R54" s="22">
        <v>5.5054045</v>
      </c>
    </row>
    <row r="55" spans="1:18" ht="26" x14ac:dyDescent="0.2">
      <c r="A55" s="13" t="s">
        <v>147</v>
      </c>
      <c r="B55" s="12" t="s">
        <v>148</v>
      </c>
      <c r="C55" s="12" t="s">
        <v>123</v>
      </c>
      <c r="D55" s="13" t="s">
        <v>149</v>
      </c>
      <c r="E55" s="13" t="s">
        <v>149</v>
      </c>
      <c r="F55" s="12" t="s">
        <v>56</v>
      </c>
      <c r="G55" s="24" t="s">
        <v>127</v>
      </c>
      <c r="H55" s="17" t="s">
        <v>106</v>
      </c>
      <c r="I55" s="13" t="s">
        <v>128</v>
      </c>
      <c r="J55" s="13"/>
      <c r="K55" s="27"/>
      <c r="L55" s="14">
        <v>219922.83869999999</v>
      </c>
      <c r="M55" s="14">
        <v>127775.16931</v>
      </c>
      <c r="N55" s="13"/>
      <c r="O55" s="12" t="s">
        <v>56</v>
      </c>
      <c r="P55" s="21" t="s">
        <v>150</v>
      </c>
      <c r="Q55" s="22">
        <v>49.717968999999997</v>
      </c>
      <c r="R55" s="22">
        <v>18.2946046</v>
      </c>
    </row>
    <row r="56" spans="1:18" ht="26" x14ac:dyDescent="0.2">
      <c r="A56" s="9" t="s">
        <v>159</v>
      </c>
      <c r="B56" s="8" t="s">
        <v>160</v>
      </c>
      <c r="C56" s="8" t="s">
        <v>153</v>
      </c>
      <c r="D56" s="9" t="s">
        <v>157</v>
      </c>
      <c r="E56" s="9" t="s">
        <v>157</v>
      </c>
      <c r="F56" s="8" t="s">
        <v>61</v>
      </c>
      <c r="G56" s="28" t="s">
        <v>161</v>
      </c>
      <c r="H56" s="17" t="s">
        <v>106</v>
      </c>
      <c r="I56" s="9" t="s">
        <v>107</v>
      </c>
      <c r="J56" s="11">
        <v>0.41099999999999998</v>
      </c>
      <c r="K56" s="10">
        <v>162640.71799999999</v>
      </c>
      <c r="L56" s="10">
        <v>164844.49997999999</v>
      </c>
      <c r="M56" s="10">
        <v>95774.654496999996</v>
      </c>
      <c r="N56" s="9"/>
      <c r="O56" s="8" t="s">
        <v>61</v>
      </c>
      <c r="P56" s="18" t="s">
        <v>162</v>
      </c>
      <c r="Q56" s="19">
        <v>49.534282699999999</v>
      </c>
      <c r="R56" s="19">
        <v>8.4594228999999999</v>
      </c>
    </row>
    <row r="57" spans="1:18" ht="26" x14ac:dyDescent="0.2">
      <c r="A57" s="13" t="s">
        <v>170</v>
      </c>
      <c r="B57" s="12" t="s">
        <v>171</v>
      </c>
      <c r="C57" s="12" t="s">
        <v>172</v>
      </c>
      <c r="D57" s="13" t="s">
        <v>157</v>
      </c>
      <c r="E57" s="13" t="s">
        <v>157</v>
      </c>
      <c r="F57" s="12" t="s">
        <v>61</v>
      </c>
      <c r="G57" s="20" t="s">
        <v>112</v>
      </c>
      <c r="H57" s="17" t="s">
        <v>106</v>
      </c>
      <c r="I57" s="13" t="s">
        <v>113</v>
      </c>
      <c r="J57" s="15">
        <v>0.38140000000000002</v>
      </c>
      <c r="K57" s="14">
        <v>181262.15900000001</v>
      </c>
      <c r="L57" s="14">
        <v>164844.49997999999</v>
      </c>
      <c r="M57" s="14">
        <v>95774.654496999996</v>
      </c>
      <c r="N57" s="13"/>
      <c r="O57" s="12" t="s">
        <v>61</v>
      </c>
      <c r="P57" s="21" t="s">
        <v>173</v>
      </c>
      <c r="Q57" s="22">
        <v>48.723627100000002</v>
      </c>
      <c r="R57" s="22">
        <v>8.3557997999999998</v>
      </c>
    </row>
    <row r="58" spans="1:18" x14ac:dyDescent="0.2">
      <c r="A58" s="13" t="s">
        <v>177</v>
      </c>
      <c r="B58" s="12" t="s">
        <v>178</v>
      </c>
      <c r="C58" s="12" t="s">
        <v>141</v>
      </c>
      <c r="D58" s="13" t="s">
        <v>157</v>
      </c>
      <c r="E58" s="13" t="s">
        <v>157</v>
      </c>
      <c r="F58" s="12" t="s">
        <v>61</v>
      </c>
      <c r="G58" s="24" t="s">
        <v>127</v>
      </c>
      <c r="H58" s="17" t="s">
        <v>106</v>
      </c>
      <c r="I58" s="13" t="s">
        <v>128</v>
      </c>
      <c r="J58" s="15">
        <v>0.1232</v>
      </c>
      <c r="K58" s="14">
        <v>18621.440999999999</v>
      </c>
      <c r="L58" s="14">
        <v>164844.49997999999</v>
      </c>
      <c r="M58" s="14">
        <v>95774.654496999996</v>
      </c>
      <c r="N58" s="13"/>
      <c r="O58" s="12" t="s">
        <v>61</v>
      </c>
      <c r="P58" s="21" t="s">
        <v>179</v>
      </c>
      <c r="Q58" s="22">
        <v>50.403498900000002</v>
      </c>
      <c r="R58" s="22">
        <v>11.700746499999999</v>
      </c>
    </row>
    <row r="59" spans="1:18" ht="26" x14ac:dyDescent="0.2">
      <c r="A59" s="9" t="s">
        <v>180</v>
      </c>
      <c r="B59" s="8" t="s">
        <v>181</v>
      </c>
      <c r="C59" s="8" t="s">
        <v>103</v>
      </c>
      <c r="D59" s="9" t="s">
        <v>157</v>
      </c>
      <c r="E59" s="9" t="s">
        <v>157</v>
      </c>
      <c r="F59" s="8" t="s">
        <v>61</v>
      </c>
      <c r="G59" s="20" t="s">
        <v>112</v>
      </c>
      <c r="H59" s="17" t="s">
        <v>106</v>
      </c>
      <c r="I59" s="9" t="s">
        <v>113</v>
      </c>
      <c r="J59" s="11">
        <v>0.38140000000000002</v>
      </c>
      <c r="K59" s="10">
        <v>181262.15900000001</v>
      </c>
      <c r="L59" s="10">
        <v>164844.49997999999</v>
      </c>
      <c r="M59" s="10">
        <v>95774.654496999996</v>
      </c>
      <c r="N59" s="9"/>
      <c r="O59" s="8" t="s">
        <v>61</v>
      </c>
      <c r="P59" s="18" t="s">
        <v>182</v>
      </c>
      <c r="Q59" s="19">
        <v>51.987118000000002</v>
      </c>
      <c r="R59" s="19">
        <v>9.8190779999999993</v>
      </c>
    </row>
    <row r="60" spans="1:18" ht="26" x14ac:dyDescent="0.2">
      <c r="A60" s="13" t="s">
        <v>192</v>
      </c>
      <c r="B60" s="12" t="s">
        <v>193</v>
      </c>
      <c r="C60" s="12" t="s">
        <v>103</v>
      </c>
      <c r="D60" s="13" t="s">
        <v>157</v>
      </c>
      <c r="E60" s="13" t="s">
        <v>157</v>
      </c>
      <c r="F60" s="12" t="s">
        <v>61</v>
      </c>
      <c r="G60" s="16" t="s">
        <v>105</v>
      </c>
      <c r="H60" s="17" t="s">
        <v>106</v>
      </c>
      <c r="I60" s="13" t="s">
        <v>107</v>
      </c>
      <c r="J60" s="15">
        <v>0.41099999999999998</v>
      </c>
      <c r="K60" s="14">
        <v>162640.71799999999</v>
      </c>
      <c r="L60" s="14">
        <v>164844.49997999999</v>
      </c>
      <c r="M60" s="14">
        <v>95774.654496999996</v>
      </c>
      <c r="N60" s="13"/>
      <c r="O60" s="12" t="s">
        <v>61</v>
      </c>
      <c r="P60" s="21" t="s">
        <v>194</v>
      </c>
      <c r="Q60" s="22">
        <v>52.024943700000001</v>
      </c>
      <c r="R60" s="22">
        <v>8.5625952000000005</v>
      </c>
    </row>
    <row r="61" spans="1:18" x14ac:dyDescent="0.2">
      <c r="A61" s="9" t="s">
        <v>195</v>
      </c>
      <c r="B61" s="8" t="s">
        <v>196</v>
      </c>
      <c r="C61" s="8" t="s">
        <v>141</v>
      </c>
      <c r="D61" s="9" t="s">
        <v>157</v>
      </c>
      <c r="E61" s="9" t="s">
        <v>157</v>
      </c>
      <c r="F61" s="8" t="s">
        <v>61</v>
      </c>
      <c r="G61" s="24" t="s">
        <v>127</v>
      </c>
      <c r="H61" s="17" t="s">
        <v>106</v>
      </c>
      <c r="I61" s="9" t="s">
        <v>128</v>
      </c>
      <c r="J61" s="11">
        <v>0.1232</v>
      </c>
      <c r="K61" s="10">
        <v>18621.440999999999</v>
      </c>
      <c r="L61" s="10">
        <v>275672.15820000001</v>
      </c>
      <c r="M61" s="10">
        <v>160165.52387999999</v>
      </c>
      <c r="N61" s="9"/>
      <c r="O61" s="8" t="s">
        <v>61</v>
      </c>
      <c r="P61" s="18" t="s">
        <v>197</v>
      </c>
      <c r="Q61" s="19">
        <v>52.726328000000002</v>
      </c>
      <c r="R61" s="19">
        <v>12.011215999999999</v>
      </c>
    </row>
    <row r="62" spans="1:18" x14ac:dyDescent="0.2">
      <c r="A62" s="13" t="s">
        <v>198</v>
      </c>
      <c r="B62" s="12" t="s">
        <v>199</v>
      </c>
      <c r="C62" s="12" t="s">
        <v>103</v>
      </c>
      <c r="D62" s="13" t="s">
        <v>200</v>
      </c>
      <c r="E62" s="13" t="s">
        <v>200</v>
      </c>
      <c r="F62" s="12" t="s">
        <v>80</v>
      </c>
      <c r="G62" s="24" t="s">
        <v>127</v>
      </c>
      <c r="H62" s="17" t="s">
        <v>106</v>
      </c>
      <c r="I62" s="13" t="s">
        <v>128</v>
      </c>
      <c r="J62" s="15">
        <v>0.68379999999999996</v>
      </c>
      <c r="K62" s="14">
        <v>13425.626</v>
      </c>
      <c r="L62" s="14">
        <v>361371.86293</v>
      </c>
      <c r="M62" s="14">
        <v>209957.05235000001</v>
      </c>
      <c r="N62" s="13"/>
      <c r="O62" s="12" t="s">
        <v>80</v>
      </c>
      <c r="P62" s="21" t="s">
        <v>201</v>
      </c>
      <c r="Q62" s="22">
        <v>43.527501299999997</v>
      </c>
      <c r="R62" s="22">
        <v>-6.7240831999999999</v>
      </c>
    </row>
    <row r="63" spans="1:18" x14ac:dyDescent="0.2">
      <c r="A63" s="9" t="s">
        <v>202</v>
      </c>
      <c r="B63" s="8" t="s">
        <v>203</v>
      </c>
      <c r="C63" s="8" t="s">
        <v>103</v>
      </c>
      <c r="D63" s="9" t="s">
        <v>200</v>
      </c>
      <c r="E63" s="9" t="s">
        <v>200</v>
      </c>
      <c r="F63" s="8" t="s">
        <v>80</v>
      </c>
      <c r="G63" s="24" t="s">
        <v>127</v>
      </c>
      <c r="H63" s="17" t="s">
        <v>106</v>
      </c>
      <c r="I63" s="9" t="s">
        <v>128</v>
      </c>
      <c r="J63" s="11">
        <v>0.68379999999999996</v>
      </c>
      <c r="K63" s="10">
        <v>13425.626</v>
      </c>
      <c r="L63" s="10">
        <v>271688.33489</v>
      </c>
      <c r="M63" s="10">
        <v>157850.92261000001</v>
      </c>
      <c r="N63" s="9"/>
      <c r="O63" s="8" t="s">
        <v>80</v>
      </c>
      <c r="P63" s="18" t="s">
        <v>201</v>
      </c>
      <c r="Q63" s="19">
        <v>42.4108321</v>
      </c>
      <c r="R63" s="19">
        <v>-8.6759041000000003</v>
      </c>
    </row>
    <row r="64" spans="1:18" ht="26" x14ac:dyDescent="0.2">
      <c r="A64" s="13" t="s">
        <v>204</v>
      </c>
      <c r="B64" s="12" t="s">
        <v>205</v>
      </c>
      <c r="C64" s="12" t="s">
        <v>103</v>
      </c>
      <c r="D64" s="13" t="s">
        <v>206</v>
      </c>
      <c r="E64" s="13" t="s">
        <v>206</v>
      </c>
      <c r="F64" s="12" t="s">
        <v>60</v>
      </c>
      <c r="G64" s="20" t="s">
        <v>112</v>
      </c>
      <c r="H64" s="17" t="s">
        <v>106</v>
      </c>
      <c r="I64" s="13" t="s">
        <v>113</v>
      </c>
      <c r="J64" s="15">
        <v>0.32769999999999999</v>
      </c>
      <c r="K64" s="14">
        <v>73551.671000000002</v>
      </c>
      <c r="L64" s="14">
        <v>171453.80356999999</v>
      </c>
      <c r="M64" s="14">
        <v>99614.659883999993</v>
      </c>
      <c r="N64" s="13"/>
      <c r="O64" s="12" t="s">
        <v>60</v>
      </c>
      <c r="P64" s="21" t="s">
        <v>207</v>
      </c>
      <c r="Q64" s="22">
        <v>43.182806900000003</v>
      </c>
      <c r="R64" s="22">
        <v>-2.6605848000000001</v>
      </c>
    </row>
    <row r="65" spans="1:18" x14ac:dyDescent="0.2">
      <c r="A65" s="9" t="s">
        <v>208</v>
      </c>
      <c r="B65" s="8" t="s">
        <v>209</v>
      </c>
      <c r="C65" s="8" t="s">
        <v>103</v>
      </c>
      <c r="D65" s="9" t="s">
        <v>206</v>
      </c>
      <c r="E65" s="9" t="s">
        <v>206</v>
      </c>
      <c r="F65" s="8" t="s">
        <v>60</v>
      </c>
      <c r="G65" s="16" t="s">
        <v>105</v>
      </c>
      <c r="H65" s="17" t="s">
        <v>106</v>
      </c>
      <c r="I65" s="9" t="s">
        <v>107</v>
      </c>
      <c r="J65" s="11">
        <v>0.43640000000000001</v>
      </c>
      <c r="K65" s="10">
        <v>51435.385000000002</v>
      </c>
      <c r="L65" s="10">
        <v>980162.62002999999</v>
      </c>
      <c r="M65" s="10">
        <v>569474.48225999996</v>
      </c>
      <c r="N65" s="9"/>
      <c r="O65" s="8" t="s">
        <v>60</v>
      </c>
      <c r="P65" s="18" t="s">
        <v>210</v>
      </c>
      <c r="Q65" s="19">
        <v>62.590734300000001</v>
      </c>
      <c r="R65" s="19">
        <v>25.752114200000001</v>
      </c>
    </row>
    <row r="66" spans="1:18" ht="26" x14ac:dyDescent="0.2">
      <c r="A66" s="13" t="s">
        <v>211</v>
      </c>
      <c r="B66" s="12" t="s">
        <v>212</v>
      </c>
      <c r="C66" s="12" t="s">
        <v>103</v>
      </c>
      <c r="D66" s="13" t="s">
        <v>206</v>
      </c>
      <c r="E66" s="13" t="s">
        <v>206</v>
      </c>
      <c r="F66" s="12" t="s">
        <v>60</v>
      </c>
      <c r="G66" s="20" t="s">
        <v>112</v>
      </c>
      <c r="H66" s="17" t="s">
        <v>106</v>
      </c>
      <c r="I66" s="13" t="s">
        <v>113</v>
      </c>
      <c r="J66" s="15">
        <v>0.32769999999999999</v>
      </c>
      <c r="K66" s="14">
        <v>73551.671000000002</v>
      </c>
      <c r="L66" s="14">
        <v>485789.47366999998</v>
      </c>
      <c r="M66" s="14">
        <v>282243.68419</v>
      </c>
      <c r="N66" s="13"/>
      <c r="O66" s="12" t="s">
        <v>60</v>
      </c>
      <c r="P66" s="21" t="s">
        <v>213</v>
      </c>
      <c r="Q66" s="22">
        <v>60.167117699999999</v>
      </c>
      <c r="R66" s="22">
        <v>24.951704899999999</v>
      </c>
    </row>
    <row r="67" spans="1:18" ht="26" x14ac:dyDescent="0.2">
      <c r="A67" s="9" t="s">
        <v>214</v>
      </c>
      <c r="B67" s="8" t="s">
        <v>215</v>
      </c>
      <c r="C67" s="8" t="s">
        <v>103</v>
      </c>
      <c r="D67" s="9" t="s">
        <v>206</v>
      </c>
      <c r="E67" s="9" t="s">
        <v>206</v>
      </c>
      <c r="F67" s="8" t="s">
        <v>60</v>
      </c>
      <c r="G67" s="16" t="s">
        <v>105</v>
      </c>
      <c r="H67" s="17" t="s">
        <v>106</v>
      </c>
      <c r="I67" s="9" t="s">
        <v>107</v>
      </c>
      <c r="J67" s="11">
        <v>0.43640000000000001</v>
      </c>
      <c r="K67" s="10">
        <v>51435.385000000002</v>
      </c>
      <c r="L67" s="10">
        <v>82573.584904999996</v>
      </c>
      <c r="M67" s="10">
        <v>47975.252831999998</v>
      </c>
      <c r="N67" s="9"/>
      <c r="O67" s="8" t="s">
        <v>60</v>
      </c>
      <c r="P67" s="18" t="s">
        <v>216</v>
      </c>
      <c r="Q67" s="19">
        <v>59.501987999999997</v>
      </c>
      <c r="R67" s="19">
        <v>26.548161499999999</v>
      </c>
    </row>
    <row r="68" spans="1:18" ht="26" hidden="1" x14ac:dyDescent="0.2">
      <c r="A68" s="13" t="s">
        <v>217</v>
      </c>
      <c r="B68" s="12" t="s">
        <v>218</v>
      </c>
      <c r="C68" s="12" t="s">
        <v>141</v>
      </c>
      <c r="D68" s="13" t="s">
        <v>206</v>
      </c>
      <c r="E68" s="13" t="s">
        <v>206</v>
      </c>
      <c r="F68" s="12" t="s">
        <v>60</v>
      </c>
      <c r="G68" s="24" t="s">
        <v>127</v>
      </c>
      <c r="H68" s="17" t="s">
        <v>106</v>
      </c>
      <c r="I68" s="13" t="s">
        <v>128</v>
      </c>
      <c r="J68" s="15">
        <v>0</v>
      </c>
      <c r="K68" s="14">
        <v>22116.286</v>
      </c>
      <c r="L68" s="14"/>
      <c r="M68" s="14"/>
      <c r="N68" s="13"/>
      <c r="O68" s="12" t="s">
        <v>60</v>
      </c>
      <c r="P68" s="21" t="s">
        <v>219</v>
      </c>
      <c r="Q68" s="22"/>
      <c r="R68" s="22"/>
    </row>
    <row r="69" spans="1:18" ht="26" x14ac:dyDescent="0.2">
      <c r="A69" s="9" t="s">
        <v>220</v>
      </c>
      <c r="B69" s="8" t="s">
        <v>221</v>
      </c>
      <c r="C69" s="8" t="s">
        <v>103</v>
      </c>
      <c r="D69" s="9" t="s">
        <v>206</v>
      </c>
      <c r="E69" s="9" t="s">
        <v>206</v>
      </c>
      <c r="F69" s="8" t="s">
        <v>60</v>
      </c>
      <c r="G69" s="20" t="s">
        <v>112</v>
      </c>
      <c r="H69" s="17" t="s">
        <v>106</v>
      </c>
      <c r="I69" s="9" t="s">
        <v>113</v>
      </c>
      <c r="J69" s="11">
        <v>0.32769999999999999</v>
      </c>
      <c r="K69" s="10">
        <v>73551.671000000002</v>
      </c>
      <c r="L69" s="10">
        <v>520240.15986999997</v>
      </c>
      <c r="M69" s="10">
        <v>302259.53292000003</v>
      </c>
      <c r="N69" s="9"/>
      <c r="O69" s="8" t="s">
        <v>60</v>
      </c>
      <c r="P69" s="18" t="s">
        <v>222</v>
      </c>
      <c r="Q69" s="19">
        <v>61.127978499999998</v>
      </c>
      <c r="R69" s="19">
        <v>28.447781800000001</v>
      </c>
    </row>
    <row r="70" spans="1:18" ht="26" x14ac:dyDescent="0.2">
      <c r="A70" s="9" t="s">
        <v>233</v>
      </c>
      <c r="B70" s="8" t="s">
        <v>234</v>
      </c>
      <c r="C70" s="8" t="s">
        <v>103</v>
      </c>
      <c r="D70" s="9" t="s">
        <v>206</v>
      </c>
      <c r="E70" s="9" t="s">
        <v>206</v>
      </c>
      <c r="F70" s="8" t="s">
        <v>60</v>
      </c>
      <c r="G70" s="28" t="s">
        <v>161</v>
      </c>
      <c r="H70" s="17" t="s">
        <v>106</v>
      </c>
      <c r="I70" s="9" t="s">
        <v>107</v>
      </c>
      <c r="J70" s="11">
        <v>0.43640000000000001</v>
      </c>
      <c r="K70" s="10">
        <v>51435.385000000002</v>
      </c>
      <c r="L70" s="10">
        <v>485789.47366999998</v>
      </c>
      <c r="M70" s="10">
        <v>282243.68419</v>
      </c>
      <c r="N70" s="9"/>
      <c r="O70" s="8" t="s">
        <v>60</v>
      </c>
      <c r="P70" s="18" t="s">
        <v>235</v>
      </c>
      <c r="Q70" s="19">
        <v>61.066305900000003</v>
      </c>
      <c r="R70" s="19">
        <v>28.230704299999999</v>
      </c>
    </row>
    <row r="71" spans="1:18" ht="26" x14ac:dyDescent="0.2">
      <c r="A71" s="13" t="s">
        <v>236</v>
      </c>
      <c r="B71" s="12" t="s">
        <v>237</v>
      </c>
      <c r="C71" s="12" t="s">
        <v>103</v>
      </c>
      <c r="D71" s="13" t="s">
        <v>238</v>
      </c>
      <c r="E71" s="13" t="s">
        <v>238</v>
      </c>
      <c r="F71" s="12" t="s">
        <v>63</v>
      </c>
      <c r="G71" s="16" t="s">
        <v>105</v>
      </c>
      <c r="H71" s="17" t="s">
        <v>106</v>
      </c>
      <c r="I71" s="13" t="s">
        <v>107</v>
      </c>
      <c r="J71" s="15">
        <v>0.31190000000000001</v>
      </c>
      <c r="K71" s="14">
        <v>8610.2800000000007</v>
      </c>
      <c r="L71" s="14">
        <v>603176.99694999994</v>
      </c>
      <c r="M71" s="14">
        <v>350445.83519999997</v>
      </c>
      <c r="N71" s="13"/>
      <c r="O71" s="12" t="s">
        <v>63</v>
      </c>
      <c r="P71" s="21" t="s">
        <v>239</v>
      </c>
      <c r="Q71" s="22">
        <v>63.674403599999998</v>
      </c>
      <c r="R71" s="22">
        <v>22.6966088</v>
      </c>
    </row>
    <row r="72" spans="1:18" x14ac:dyDescent="0.2">
      <c r="A72" s="13" t="s">
        <v>257</v>
      </c>
      <c r="B72" s="12" t="s">
        <v>258</v>
      </c>
      <c r="C72" s="12" t="s">
        <v>103</v>
      </c>
      <c r="D72" s="13" t="s">
        <v>252</v>
      </c>
      <c r="E72" s="13" t="s">
        <v>252</v>
      </c>
      <c r="F72" s="12" t="s">
        <v>65</v>
      </c>
      <c r="G72" s="16" t="s">
        <v>105</v>
      </c>
      <c r="H72" s="17" t="s">
        <v>106</v>
      </c>
      <c r="I72" s="13" t="s">
        <v>107</v>
      </c>
      <c r="J72" s="15">
        <v>0.3911</v>
      </c>
      <c r="K72" s="14">
        <v>40388.192000000003</v>
      </c>
      <c r="L72" s="14">
        <v>294048.78599</v>
      </c>
      <c r="M72" s="14">
        <v>170842.34466999999</v>
      </c>
      <c r="N72" s="13"/>
      <c r="O72" s="12" t="s">
        <v>65</v>
      </c>
      <c r="P72" s="21" t="s">
        <v>259</v>
      </c>
      <c r="Q72" s="22">
        <v>62.221080000000001</v>
      </c>
      <c r="R72" s="22">
        <v>21.144193000000001</v>
      </c>
    </row>
    <row r="73" spans="1:18" ht="26" x14ac:dyDescent="0.2">
      <c r="A73" s="9" t="s">
        <v>260</v>
      </c>
      <c r="B73" s="8" t="s">
        <v>261</v>
      </c>
      <c r="C73" s="8" t="s">
        <v>103</v>
      </c>
      <c r="D73" s="9" t="s">
        <v>252</v>
      </c>
      <c r="E73" s="9" t="s">
        <v>252</v>
      </c>
      <c r="F73" s="8" t="s">
        <v>65</v>
      </c>
      <c r="G73" s="28" t="s">
        <v>161</v>
      </c>
      <c r="H73" s="17" t="s">
        <v>106</v>
      </c>
      <c r="I73" s="9" t="s">
        <v>107</v>
      </c>
      <c r="J73" s="11">
        <v>0.3911</v>
      </c>
      <c r="K73" s="10">
        <v>40388.192000000003</v>
      </c>
      <c r="L73" s="10">
        <v>980162.62002999999</v>
      </c>
      <c r="M73" s="10">
        <v>569474.48225999996</v>
      </c>
      <c r="N73" s="9"/>
      <c r="O73" s="8" t="s">
        <v>65</v>
      </c>
      <c r="P73" s="18" t="s">
        <v>262</v>
      </c>
      <c r="Q73" s="19">
        <v>62.595999999999997</v>
      </c>
      <c r="R73" s="19">
        <v>25.741</v>
      </c>
    </row>
    <row r="74" spans="1:18" x14ac:dyDescent="0.2">
      <c r="A74" s="9" t="s">
        <v>298</v>
      </c>
      <c r="B74" s="8" t="s">
        <v>299</v>
      </c>
      <c r="C74" s="8" t="s">
        <v>103</v>
      </c>
      <c r="D74" s="9" t="s">
        <v>300</v>
      </c>
      <c r="E74" s="9" t="s">
        <v>300</v>
      </c>
      <c r="F74" s="8" t="s">
        <v>72</v>
      </c>
      <c r="G74" s="16" t="s">
        <v>105</v>
      </c>
      <c r="H74" s="17" t="s">
        <v>106</v>
      </c>
      <c r="I74" s="9" t="s">
        <v>107</v>
      </c>
      <c r="J74" s="9"/>
      <c r="K74" s="26"/>
      <c r="L74" s="10">
        <v>175142.36629000001</v>
      </c>
      <c r="M74" s="10">
        <v>101757.714798</v>
      </c>
      <c r="N74" s="9"/>
      <c r="O74" s="8" t="s">
        <v>72</v>
      </c>
      <c r="P74" s="18" t="s">
        <v>301</v>
      </c>
      <c r="Q74" s="19">
        <v>43.780611999999998</v>
      </c>
      <c r="R74" s="19">
        <v>4.652488</v>
      </c>
    </row>
    <row r="75" spans="1:18" x14ac:dyDescent="0.2">
      <c r="A75" s="9" t="s">
        <v>305</v>
      </c>
      <c r="B75" s="8" t="s">
        <v>306</v>
      </c>
      <c r="C75" s="8" t="s">
        <v>123</v>
      </c>
      <c r="D75" s="9" t="s">
        <v>293</v>
      </c>
      <c r="E75" s="9" t="s">
        <v>293</v>
      </c>
      <c r="F75" s="8" t="s">
        <v>73</v>
      </c>
      <c r="G75" s="16" t="s">
        <v>105</v>
      </c>
      <c r="H75" s="17" t="s">
        <v>106</v>
      </c>
      <c r="I75" s="9" t="s">
        <v>107</v>
      </c>
      <c r="J75" s="11">
        <v>4.0899999999999999E-2</v>
      </c>
      <c r="K75" s="10">
        <v>11440.082</v>
      </c>
      <c r="L75" s="10">
        <v>19790.000003000001</v>
      </c>
      <c r="M75" s="10">
        <v>11497.9899996</v>
      </c>
      <c r="N75" s="9"/>
      <c r="O75" s="8" t="s">
        <v>73</v>
      </c>
      <c r="P75" s="18" t="s">
        <v>307</v>
      </c>
      <c r="Q75" s="19">
        <v>45.2997443</v>
      </c>
      <c r="R75" s="19">
        <v>14.7213856</v>
      </c>
    </row>
    <row r="76" spans="1:18" ht="26" x14ac:dyDescent="0.2">
      <c r="A76" s="9" t="s">
        <v>342</v>
      </c>
      <c r="B76" s="8" t="s">
        <v>343</v>
      </c>
      <c r="C76" s="8" t="s">
        <v>344</v>
      </c>
      <c r="D76" s="9" t="s">
        <v>265</v>
      </c>
      <c r="E76" s="9" t="s">
        <v>265</v>
      </c>
      <c r="F76" s="8" t="s">
        <v>74</v>
      </c>
      <c r="G76" s="20" t="s">
        <v>112</v>
      </c>
      <c r="H76" s="17" t="s">
        <v>106</v>
      </c>
      <c r="I76" s="9" t="s">
        <v>113</v>
      </c>
      <c r="J76" s="11">
        <v>0.2429</v>
      </c>
      <c r="K76" s="10">
        <v>59148.790999999997</v>
      </c>
      <c r="L76" s="10">
        <v>465080.80300999997</v>
      </c>
      <c r="M76" s="10">
        <v>270211.94657999999</v>
      </c>
      <c r="N76" s="9"/>
      <c r="O76" s="8" t="s">
        <v>74</v>
      </c>
      <c r="P76" s="18" t="s">
        <v>345</v>
      </c>
      <c r="Q76" s="19">
        <v>53.393135999999998</v>
      </c>
      <c r="R76" s="19">
        <v>18.378309000000002</v>
      </c>
    </row>
    <row r="77" spans="1:18" ht="26" x14ac:dyDescent="0.2">
      <c r="A77" s="13" t="s">
        <v>346</v>
      </c>
      <c r="B77" s="12" t="s">
        <v>347</v>
      </c>
      <c r="C77" s="12" t="s">
        <v>348</v>
      </c>
      <c r="D77" s="13" t="s">
        <v>265</v>
      </c>
      <c r="E77" s="13" t="s">
        <v>265</v>
      </c>
      <c r="F77" s="12" t="s">
        <v>74</v>
      </c>
      <c r="G77" s="16" t="s">
        <v>105</v>
      </c>
      <c r="H77" s="17" t="s">
        <v>106</v>
      </c>
      <c r="I77" s="13" t="s">
        <v>107</v>
      </c>
      <c r="J77" s="15">
        <v>0.23769999999999999</v>
      </c>
      <c r="K77" s="14">
        <v>57598.697</v>
      </c>
      <c r="L77" s="14">
        <v>465080.80300999997</v>
      </c>
      <c r="M77" s="14">
        <v>270211.94657999999</v>
      </c>
      <c r="N77" s="13"/>
      <c r="O77" s="12" t="s">
        <v>74</v>
      </c>
      <c r="P77" s="21" t="s">
        <v>349</v>
      </c>
      <c r="Q77" s="22">
        <v>50.573394999999998</v>
      </c>
      <c r="R77" s="22">
        <v>19.319579000000001</v>
      </c>
    </row>
    <row r="78" spans="1:18" x14ac:dyDescent="0.2">
      <c r="A78" s="9" t="s">
        <v>350</v>
      </c>
      <c r="B78" s="8" t="s">
        <v>351</v>
      </c>
      <c r="C78" s="8" t="s">
        <v>103</v>
      </c>
      <c r="D78" s="9" t="s">
        <v>319</v>
      </c>
      <c r="E78" s="9" t="s">
        <v>319</v>
      </c>
      <c r="F78" s="8" t="s">
        <v>75</v>
      </c>
      <c r="G78" s="24" t="s">
        <v>127</v>
      </c>
      <c r="H78" s="17" t="s">
        <v>106</v>
      </c>
      <c r="I78" s="9" t="s">
        <v>128</v>
      </c>
      <c r="J78" s="11">
        <v>8.1699999999999995E-2</v>
      </c>
      <c r="K78" s="10">
        <v>45362.175000000003</v>
      </c>
      <c r="L78" s="10">
        <v>107360.714286</v>
      </c>
      <c r="M78" s="10">
        <v>62376.574998999997</v>
      </c>
      <c r="N78" s="9"/>
      <c r="O78" s="8" t="s">
        <v>75</v>
      </c>
      <c r="P78" s="18" t="s">
        <v>352</v>
      </c>
      <c r="Q78" s="19">
        <v>39.471564000000001</v>
      </c>
      <c r="R78" s="19">
        <v>-8.3332859999999993</v>
      </c>
    </row>
    <row r="79" spans="1:18" ht="26" x14ac:dyDescent="0.2">
      <c r="A79" s="9" t="s">
        <v>356</v>
      </c>
      <c r="B79" s="8" t="s">
        <v>357</v>
      </c>
      <c r="C79" s="8" t="s">
        <v>165</v>
      </c>
      <c r="D79" s="9" t="s">
        <v>319</v>
      </c>
      <c r="E79" s="9" t="s">
        <v>319</v>
      </c>
      <c r="F79" s="8" t="s">
        <v>75</v>
      </c>
      <c r="G79" s="20" t="s">
        <v>112</v>
      </c>
      <c r="H79" s="17" t="s">
        <v>106</v>
      </c>
      <c r="I79" s="9" t="s">
        <v>113</v>
      </c>
      <c r="J79" s="11">
        <v>0.14050000000000001</v>
      </c>
      <c r="K79" s="10">
        <v>53802.847999999998</v>
      </c>
      <c r="L79" s="10">
        <v>532135.71432000003</v>
      </c>
      <c r="M79" s="10">
        <v>309170.84999999998</v>
      </c>
      <c r="N79" s="9"/>
      <c r="O79" s="8" t="s">
        <v>75</v>
      </c>
      <c r="P79" s="18" t="s">
        <v>358</v>
      </c>
      <c r="Q79" s="19">
        <v>40.059688999999999</v>
      </c>
      <c r="R79" s="19">
        <v>-8.8531320000000004</v>
      </c>
    </row>
    <row r="80" spans="1:18" x14ac:dyDescent="0.2">
      <c r="A80" s="13" t="s">
        <v>359</v>
      </c>
      <c r="B80" s="12" t="s">
        <v>360</v>
      </c>
      <c r="C80" s="12" t="s">
        <v>103</v>
      </c>
      <c r="D80" s="13" t="s">
        <v>319</v>
      </c>
      <c r="E80" s="13" t="s">
        <v>319</v>
      </c>
      <c r="F80" s="12" t="s">
        <v>75</v>
      </c>
      <c r="G80" s="24" t="s">
        <v>127</v>
      </c>
      <c r="H80" s="17" t="s">
        <v>106</v>
      </c>
      <c r="I80" s="13" t="s">
        <v>128</v>
      </c>
      <c r="J80" s="15">
        <v>8.1699999999999995E-2</v>
      </c>
      <c r="K80" s="14">
        <v>45362.175000000003</v>
      </c>
      <c r="L80" s="14">
        <v>102692.85714599999</v>
      </c>
      <c r="M80" s="14">
        <v>59664.549996000002</v>
      </c>
      <c r="N80" s="13"/>
      <c r="O80" s="12" t="s">
        <v>75</v>
      </c>
      <c r="P80" s="21" t="s">
        <v>361</v>
      </c>
      <c r="Q80" s="22">
        <v>40.050547000000002</v>
      </c>
      <c r="R80" s="22">
        <v>-8.8751379999999997</v>
      </c>
    </row>
    <row r="81" spans="1:18" ht="26" x14ac:dyDescent="0.2">
      <c r="A81" s="9" t="s">
        <v>362</v>
      </c>
      <c r="B81" s="8" t="s">
        <v>363</v>
      </c>
      <c r="C81" s="8" t="s">
        <v>364</v>
      </c>
      <c r="D81" s="9" t="s">
        <v>319</v>
      </c>
      <c r="E81" s="9" t="s">
        <v>319</v>
      </c>
      <c r="F81" s="8" t="s">
        <v>75</v>
      </c>
      <c r="G81" s="24" t="s">
        <v>127</v>
      </c>
      <c r="H81" s="17" t="s">
        <v>106</v>
      </c>
      <c r="I81" s="9" t="s">
        <v>128</v>
      </c>
      <c r="J81" s="11">
        <v>8.1699999999999995E-2</v>
      </c>
      <c r="K81" s="10">
        <v>45362.175000000003</v>
      </c>
      <c r="L81" s="10">
        <v>298742.85713000002</v>
      </c>
      <c r="M81" s="10">
        <v>173569.59995999999</v>
      </c>
      <c r="N81" s="9"/>
      <c r="O81" s="8" t="s">
        <v>75</v>
      </c>
      <c r="P81" s="18" t="s">
        <v>365</v>
      </c>
      <c r="Q81" s="19">
        <v>40.684518799999999</v>
      </c>
      <c r="R81" s="19">
        <v>-8.5901777999999993</v>
      </c>
    </row>
    <row r="82" spans="1:18" ht="26" x14ac:dyDescent="0.2">
      <c r="A82" s="13" t="s">
        <v>366</v>
      </c>
      <c r="B82" s="12" t="s">
        <v>367</v>
      </c>
      <c r="C82" s="12" t="s">
        <v>364</v>
      </c>
      <c r="D82" s="13" t="s">
        <v>319</v>
      </c>
      <c r="E82" s="13" t="s">
        <v>319</v>
      </c>
      <c r="F82" s="12" t="s">
        <v>75</v>
      </c>
      <c r="G82" s="20" t="s">
        <v>112</v>
      </c>
      <c r="H82" s="17" t="s">
        <v>106</v>
      </c>
      <c r="I82" s="13" t="s">
        <v>113</v>
      </c>
      <c r="J82" s="15">
        <v>0.14050000000000001</v>
      </c>
      <c r="K82" s="14">
        <v>53802.847999999998</v>
      </c>
      <c r="L82" s="14">
        <v>513464.28571000003</v>
      </c>
      <c r="M82" s="14">
        <v>298322.75004000001</v>
      </c>
      <c r="N82" s="13"/>
      <c r="O82" s="12" t="s">
        <v>75</v>
      </c>
      <c r="P82" s="21" t="s">
        <v>368</v>
      </c>
      <c r="Q82" s="22">
        <v>38.492035719999997</v>
      </c>
      <c r="R82" s="22">
        <v>-8.8072800319999995</v>
      </c>
    </row>
    <row r="83" spans="1:18" ht="26" x14ac:dyDescent="0.2">
      <c r="A83" s="13" t="s">
        <v>373</v>
      </c>
      <c r="B83" s="12" t="s">
        <v>374</v>
      </c>
      <c r="C83" s="12" t="s">
        <v>153</v>
      </c>
      <c r="D83" s="13" t="s">
        <v>371</v>
      </c>
      <c r="E83" s="13" t="s">
        <v>371</v>
      </c>
      <c r="F83" s="12" t="s">
        <v>78</v>
      </c>
      <c r="G83" s="20" t="s">
        <v>112</v>
      </c>
      <c r="H83" s="17" t="s">
        <v>106</v>
      </c>
      <c r="I83" s="13" t="s">
        <v>113</v>
      </c>
      <c r="J83" s="15">
        <v>8.9399999999999993E-2</v>
      </c>
      <c r="K83" s="14">
        <v>15114.9</v>
      </c>
      <c r="L83" s="14">
        <v>93016.160598000002</v>
      </c>
      <c r="M83" s="14">
        <v>54042.389308999998</v>
      </c>
      <c r="N83" s="13"/>
      <c r="O83" s="12" t="s">
        <v>78</v>
      </c>
      <c r="P83" s="21" t="s">
        <v>375</v>
      </c>
      <c r="Q83" s="22">
        <v>49.078243299999997</v>
      </c>
      <c r="R83" s="22">
        <v>19.318205800000001</v>
      </c>
    </row>
    <row r="84" spans="1:18" ht="26" x14ac:dyDescent="0.2">
      <c r="A84" s="13" t="s">
        <v>380</v>
      </c>
      <c r="B84" s="12" t="s">
        <v>381</v>
      </c>
      <c r="C84" s="12" t="s">
        <v>123</v>
      </c>
      <c r="D84" s="13" t="s">
        <v>277</v>
      </c>
      <c r="E84" s="13" t="s">
        <v>277</v>
      </c>
      <c r="F84" s="12" t="s">
        <v>81</v>
      </c>
      <c r="G84" s="24" t="s">
        <v>127</v>
      </c>
      <c r="H84" s="17" t="s">
        <v>106</v>
      </c>
      <c r="I84" s="13" t="s">
        <v>128</v>
      </c>
      <c r="J84" s="15">
        <v>2.0299999999999999E-2</v>
      </c>
      <c r="K84" s="14">
        <v>109186.827</v>
      </c>
      <c r="L84" s="14">
        <v>324263.31030000001</v>
      </c>
      <c r="M84" s="14">
        <v>188396.98324999999</v>
      </c>
      <c r="N84" s="13"/>
      <c r="O84" s="12" t="s">
        <v>81</v>
      </c>
      <c r="P84" s="21" t="s">
        <v>382</v>
      </c>
      <c r="Q84" s="22">
        <v>63.290047399999999</v>
      </c>
      <c r="R84" s="22">
        <v>18.716616599999998</v>
      </c>
    </row>
    <row r="85" spans="1:18" ht="26" x14ac:dyDescent="0.2">
      <c r="A85" s="13" t="s">
        <v>386</v>
      </c>
      <c r="B85" s="12" t="s">
        <v>387</v>
      </c>
      <c r="C85" s="12" t="s">
        <v>103</v>
      </c>
      <c r="D85" s="13" t="s">
        <v>277</v>
      </c>
      <c r="E85" s="13" t="s">
        <v>277</v>
      </c>
      <c r="F85" s="12" t="s">
        <v>81</v>
      </c>
      <c r="G85" s="24" t="s">
        <v>127</v>
      </c>
      <c r="H85" s="17" t="s">
        <v>106</v>
      </c>
      <c r="I85" s="13" t="s">
        <v>128</v>
      </c>
      <c r="J85" s="15">
        <v>2.0299999999999999E-2</v>
      </c>
      <c r="K85" s="14">
        <v>109186.827</v>
      </c>
      <c r="L85" s="14">
        <v>788748.59256000002</v>
      </c>
      <c r="M85" s="14">
        <v>458262.93229000003</v>
      </c>
      <c r="N85" s="13"/>
      <c r="O85" s="12" t="s">
        <v>81</v>
      </c>
      <c r="P85" s="21" t="s">
        <v>388</v>
      </c>
      <c r="Q85" s="22">
        <v>62.485456300000003</v>
      </c>
      <c r="R85" s="22">
        <v>17.3248651</v>
      </c>
    </row>
    <row r="86" spans="1:18" ht="26" x14ac:dyDescent="0.2">
      <c r="A86" s="13" t="s">
        <v>392</v>
      </c>
      <c r="B86" s="12" t="s">
        <v>393</v>
      </c>
      <c r="C86" s="12" t="s">
        <v>103</v>
      </c>
      <c r="D86" s="13" t="s">
        <v>277</v>
      </c>
      <c r="E86" s="13" t="s">
        <v>277</v>
      </c>
      <c r="F86" s="12" t="s">
        <v>81</v>
      </c>
      <c r="G86" s="20" t="s">
        <v>112</v>
      </c>
      <c r="H86" s="17" t="s">
        <v>106</v>
      </c>
      <c r="I86" s="13" t="s">
        <v>113</v>
      </c>
      <c r="J86" s="15">
        <v>2.7400000000000001E-2</v>
      </c>
      <c r="K86" s="14">
        <v>258003.45600000001</v>
      </c>
      <c r="L86" s="14">
        <v>162131.65512000001</v>
      </c>
      <c r="M86" s="14">
        <v>94198.491636000006</v>
      </c>
      <c r="N86" s="13"/>
      <c r="O86" s="12" t="s">
        <v>81</v>
      </c>
      <c r="P86" s="21" t="s">
        <v>394</v>
      </c>
      <c r="Q86" s="22">
        <v>60.128160999999999</v>
      </c>
      <c r="R86" s="22">
        <v>18.643501000000001</v>
      </c>
    </row>
    <row r="87" spans="1:18" ht="26" x14ac:dyDescent="0.2">
      <c r="A87" s="9" t="s">
        <v>395</v>
      </c>
      <c r="B87" s="8" t="s">
        <v>396</v>
      </c>
      <c r="C87" s="8" t="s">
        <v>153</v>
      </c>
      <c r="D87" s="9" t="s">
        <v>277</v>
      </c>
      <c r="E87" s="9" t="s">
        <v>277</v>
      </c>
      <c r="F87" s="8" t="s">
        <v>81</v>
      </c>
      <c r="G87" s="20" t="s">
        <v>112</v>
      </c>
      <c r="H87" s="17" t="s">
        <v>106</v>
      </c>
      <c r="I87" s="9" t="s">
        <v>113</v>
      </c>
      <c r="J87" s="11">
        <v>2.7400000000000001E-2</v>
      </c>
      <c r="K87" s="10">
        <v>258003.45600000001</v>
      </c>
      <c r="L87" s="10">
        <v>569651.76132000005</v>
      </c>
      <c r="M87" s="10">
        <v>330967.67327999999</v>
      </c>
      <c r="N87" s="9"/>
      <c r="O87" s="8" t="s">
        <v>81</v>
      </c>
      <c r="P87" s="18" t="s">
        <v>397</v>
      </c>
      <c r="Q87" s="19">
        <v>59.323459800000002</v>
      </c>
      <c r="R87" s="19">
        <v>13.4595214</v>
      </c>
    </row>
    <row r="88" spans="1:18" x14ac:dyDescent="0.2">
      <c r="A88" s="13" t="s">
        <v>398</v>
      </c>
      <c r="B88" s="12" t="s">
        <v>399</v>
      </c>
      <c r="C88" s="12" t="s">
        <v>103</v>
      </c>
      <c r="D88" s="13" t="s">
        <v>277</v>
      </c>
      <c r="E88" s="13" t="s">
        <v>277</v>
      </c>
      <c r="F88" s="12" t="s">
        <v>81</v>
      </c>
      <c r="G88" s="20" t="s">
        <v>112</v>
      </c>
      <c r="H88" s="17" t="s">
        <v>106</v>
      </c>
      <c r="I88" s="13" t="s">
        <v>113</v>
      </c>
      <c r="J88" s="15">
        <v>2.7400000000000001E-2</v>
      </c>
      <c r="K88" s="14">
        <v>258003.45600000001</v>
      </c>
      <c r="L88" s="14">
        <v>297971.69052</v>
      </c>
      <c r="M88" s="14">
        <v>173121.55218999999</v>
      </c>
      <c r="N88" s="13"/>
      <c r="O88" s="12" t="s">
        <v>81</v>
      </c>
      <c r="P88" s="21" t="s">
        <v>400</v>
      </c>
      <c r="Q88" s="22">
        <v>56.043585999999998</v>
      </c>
      <c r="R88" s="22">
        <v>14.4629943</v>
      </c>
    </row>
    <row r="89" spans="1:18" ht="26" x14ac:dyDescent="0.2">
      <c r="A89" s="13" t="s">
        <v>405</v>
      </c>
      <c r="B89" s="12" t="s">
        <v>406</v>
      </c>
      <c r="C89" s="12" t="s">
        <v>407</v>
      </c>
      <c r="D89" s="13" t="s">
        <v>277</v>
      </c>
      <c r="E89" s="13" t="s">
        <v>277</v>
      </c>
      <c r="F89" s="12" t="s">
        <v>81</v>
      </c>
      <c r="G89" s="24" t="s">
        <v>127</v>
      </c>
      <c r="H89" s="17" t="s">
        <v>106</v>
      </c>
      <c r="I89" s="13" t="s">
        <v>128</v>
      </c>
      <c r="J89" s="15">
        <v>2.0299999999999999E-2</v>
      </c>
      <c r="K89" s="14">
        <v>109186.827</v>
      </c>
      <c r="L89" s="14">
        <v>411902.04277</v>
      </c>
      <c r="M89" s="14">
        <v>239315.08684999999</v>
      </c>
      <c r="N89" s="13"/>
      <c r="O89" s="12" t="s">
        <v>81</v>
      </c>
      <c r="P89" s="21" t="s">
        <v>408</v>
      </c>
      <c r="Q89" s="22">
        <v>56.193831400000001</v>
      </c>
      <c r="R89" s="22">
        <v>14.748156</v>
      </c>
    </row>
    <row r="90" spans="1:18" x14ac:dyDescent="0.2">
      <c r="A90" s="9" t="s">
        <v>409</v>
      </c>
      <c r="B90" s="8" t="s">
        <v>410</v>
      </c>
      <c r="C90" s="8" t="s">
        <v>123</v>
      </c>
      <c r="D90" s="9" t="s">
        <v>277</v>
      </c>
      <c r="E90" s="9" t="s">
        <v>277</v>
      </c>
      <c r="F90" s="8" t="s">
        <v>81</v>
      </c>
      <c r="G90" s="24" t="s">
        <v>127</v>
      </c>
      <c r="H90" s="17" t="s">
        <v>106</v>
      </c>
      <c r="I90" s="9" t="s">
        <v>128</v>
      </c>
      <c r="J90" s="11">
        <v>2.0299999999999999E-2</v>
      </c>
      <c r="K90" s="10">
        <v>109186.827</v>
      </c>
      <c r="L90" s="10">
        <v>666054.36708999996</v>
      </c>
      <c r="M90" s="10">
        <v>386977.58729</v>
      </c>
      <c r="N90" s="9"/>
      <c r="O90" s="8" t="s">
        <v>81</v>
      </c>
      <c r="P90" s="18" t="s">
        <v>411</v>
      </c>
      <c r="Q90" s="19">
        <v>57.250280400000001</v>
      </c>
      <c r="R90" s="19">
        <v>12.1823234</v>
      </c>
    </row>
  </sheetData>
  <autoFilter ref="A2:R90" xr:uid="{00000000-0001-0000-0200-000000000000}">
    <filterColumn colId="11">
      <customFilters>
        <customFilter operator="notEqual" val=" "/>
      </customFilters>
    </filterColumn>
  </autoFilter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42" customWidth="1"/>
    <col min="2" max="3" width="30" customWidth="1"/>
    <col min="4" max="4" width="28" customWidth="1"/>
    <col min="5" max="5" width="42" customWidth="1"/>
  </cols>
  <sheetData>
    <row r="1" spans="1:6" ht="27.75" customHeight="1" x14ac:dyDescent="0.2">
      <c r="A1" s="1" t="s">
        <v>418</v>
      </c>
      <c r="B1" s="1"/>
      <c r="C1" s="1"/>
      <c r="D1" s="1"/>
      <c r="E1" s="1"/>
      <c r="F1" s="1"/>
    </row>
    <row r="2" spans="1:6" ht="24" customHeight="1" x14ac:dyDescent="0.2">
      <c r="A2" s="29" t="s">
        <v>419</v>
      </c>
      <c r="B2" s="29" t="s">
        <v>420</v>
      </c>
      <c r="C2" s="29" t="s">
        <v>421</v>
      </c>
      <c r="D2" s="29" t="s">
        <v>422</v>
      </c>
      <c r="E2" s="29" t="s">
        <v>42</v>
      </c>
    </row>
    <row r="3" spans="1:6" ht="42" customHeight="1" x14ac:dyDescent="0.2">
      <c r="A3" s="30" t="s">
        <v>423</v>
      </c>
      <c r="B3" s="30" t="s">
        <v>424</v>
      </c>
      <c r="C3" s="30" t="s">
        <v>425</v>
      </c>
      <c r="D3" s="31" t="s">
        <v>426</v>
      </c>
      <c r="E3" s="30" t="s">
        <v>427</v>
      </c>
    </row>
    <row r="4" spans="1:6" ht="42" customHeight="1" x14ac:dyDescent="0.2">
      <c r="A4" s="32" t="s">
        <v>428</v>
      </c>
      <c r="B4" s="32" t="s">
        <v>429</v>
      </c>
      <c r="C4" s="32" t="s">
        <v>430</v>
      </c>
      <c r="D4" s="33" t="s">
        <v>431</v>
      </c>
      <c r="E4" s="32" t="s">
        <v>432</v>
      </c>
    </row>
    <row r="5" spans="1:6" ht="42" customHeight="1" x14ac:dyDescent="0.2">
      <c r="A5" s="30" t="s">
        <v>433</v>
      </c>
      <c r="B5" s="30" t="s">
        <v>434</v>
      </c>
      <c r="C5" s="30" t="s">
        <v>435</v>
      </c>
      <c r="D5" s="33" t="s">
        <v>431</v>
      </c>
      <c r="E5" s="30" t="s">
        <v>436</v>
      </c>
    </row>
    <row r="6" spans="1:6" ht="42" customHeight="1" x14ac:dyDescent="0.2">
      <c r="A6" s="32" t="s">
        <v>437</v>
      </c>
      <c r="B6" s="32" t="s">
        <v>438</v>
      </c>
      <c r="C6" s="32" t="s">
        <v>439</v>
      </c>
      <c r="D6" s="33" t="s">
        <v>440</v>
      </c>
      <c r="E6" s="32" t="s">
        <v>441</v>
      </c>
    </row>
    <row r="7" spans="1:6" ht="42" customHeight="1" x14ac:dyDescent="0.2">
      <c r="A7" s="30" t="s">
        <v>442</v>
      </c>
      <c r="B7" s="30" t="s">
        <v>443</v>
      </c>
      <c r="C7" s="30" t="s">
        <v>444</v>
      </c>
      <c r="D7" s="31" t="s">
        <v>445</v>
      </c>
      <c r="E7" s="30" t="s">
        <v>446</v>
      </c>
    </row>
    <row r="8" spans="1:6" ht="42" customHeight="1" x14ac:dyDescent="0.2">
      <c r="A8" s="32" t="s">
        <v>447</v>
      </c>
      <c r="B8" s="32" t="s">
        <v>448</v>
      </c>
      <c r="C8" s="32" t="s">
        <v>449</v>
      </c>
      <c r="D8" s="33" t="s">
        <v>450</v>
      </c>
      <c r="E8" s="32" t="s">
        <v>451</v>
      </c>
    </row>
    <row r="9" spans="1:6" ht="42" customHeight="1" x14ac:dyDescent="0.2">
      <c r="A9" s="30" t="s">
        <v>452</v>
      </c>
      <c r="B9" s="30" t="s">
        <v>453</v>
      </c>
      <c r="C9" s="30" t="s">
        <v>454</v>
      </c>
      <c r="D9" s="33" t="s">
        <v>455</v>
      </c>
      <c r="E9" s="30" t="s">
        <v>456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52" customWidth="1"/>
    <col min="2" max="2" width="38" customWidth="1"/>
    <col min="3" max="3" width="8" customWidth="1"/>
    <col min="4" max="4" width="38" customWidth="1"/>
    <col min="5" max="5" width="36" customWidth="1"/>
    <col min="6" max="6" width="28" customWidth="1"/>
    <col min="7" max="7" width="48" customWidth="1"/>
  </cols>
  <sheetData>
    <row r="1" spans="1:7" ht="27.75" customHeight="1" x14ac:dyDescent="0.2">
      <c r="A1" s="1" t="s">
        <v>457</v>
      </c>
      <c r="B1" s="1"/>
      <c r="C1" s="1"/>
      <c r="D1" s="1"/>
      <c r="E1" s="1"/>
      <c r="F1" s="1"/>
      <c r="G1" s="1"/>
    </row>
    <row r="2" spans="1:7" ht="30" customHeight="1" x14ac:dyDescent="0.2">
      <c r="A2" s="7" t="s">
        <v>458</v>
      </c>
      <c r="B2" s="7" t="s">
        <v>459</v>
      </c>
      <c r="C2" s="7" t="s">
        <v>460</v>
      </c>
      <c r="D2" s="7" t="s">
        <v>461</v>
      </c>
      <c r="E2" s="7" t="s">
        <v>462</v>
      </c>
      <c r="F2" s="7" t="s">
        <v>463</v>
      </c>
      <c r="G2" s="7" t="s">
        <v>42</v>
      </c>
    </row>
    <row r="3" spans="1:7" ht="51.75" customHeight="1" x14ac:dyDescent="0.2">
      <c r="A3" s="30" t="s">
        <v>123</v>
      </c>
      <c r="B3" s="30" t="s">
        <v>464</v>
      </c>
      <c r="C3" s="30" t="s">
        <v>128</v>
      </c>
      <c r="D3" s="30" t="s">
        <v>465</v>
      </c>
      <c r="E3" s="30" t="s">
        <v>466</v>
      </c>
      <c r="F3" s="30" t="s">
        <v>467</v>
      </c>
      <c r="G3" s="30" t="s">
        <v>468</v>
      </c>
    </row>
    <row r="4" spans="1:7" ht="51.75" customHeight="1" x14ac:dyDescent="0.2">
      <c r="A4" s="32" t="s">
        <v>165</v>
      </c>
      <c r="B4" s="32" t="s">
        <v>469</v>
      </c>
      <c r="C4" s="32" t="s">
        <v>128</v>
      </c>
      <c r="D4" s="32" t="s">
        <v>470</v>
      </c>
      <c r="E4" s="32" t="s">
        <v>471</v>
      </c>
      <c r="F4" s="32" t="s">
        <v>472</v>
      </c>
      <c r="G4" s="32" t="s">
        <v>473</v>
      </c>
    </row>
    <row r="5" spans="1:7" ht="51.75" customHeight="1" x14ac:dyDescent="0.2">
      <c r="A5" s="30" t="s">
        <v>474</v>
      </c>
      <c r="B5" s="30" t="s">
        <v>475</v>
      </c>
      <c r="C5" s="30" t="s">
        <v>128</v>
      </c>
      <c r="D5" s="30" t="s">
        <v>476</v>
      </c>
      <c r="E5" s="30" t="s">
        <v>477</v>
      </c>
      <c r="F5" s="30" t="s">
        <v>478</v>
      </c>
      <c r="G5" s="30" t="s">
        <v>479</v>
      </c>
    </row>
    <row r="6" spans="1:7" ht="51.75" customHeight="1" x14ac:dyDescent="0.2">
      <c r="A6" s="32" t="s">
        <v>117</v>
      </c>
      <c r="B6" s="32" t="s">
        <v>480</v>
      </c>
      <c r="C6" s="32" t="s">
        <v>128</v>
      </c>
      <c r="D6" s="32" t="s">
        <v>481</v>
      </c>
      <c r="E6" s="32" t="s">
        <v>482</v>
      </c>
      <c r="F6" s="32" t="s">
        <v>483</v>
      </c>
      <c r="G6" s="32" t="s">
        <v>484</v>
      </c>
    </row>
    <row r="7" spans="1:7" ht="51.75" customHeight="1" x14ac:dyDescent="0.2">
      <c r="A7" s="30" t="s">
        <v>364</v>
      </c>
      <c r="B7" s="30" t="s">
        <v>485</v>
      </c>
      <c r="C7" s="30" t="s">
        <v>128</v>
      </c>
      <c r="D7" s="30" t="s">
        <v>486</v>
      </c>
      <c r="E7" s="30" t="s">
        <v>487</v>
      </c>
      <c r="F7" s="30" t="s">
        <v>488</v>
      </c>
      <c r="G7" s="30" t="s">
        <v>489</v>
      </c>
    </row>
    <row r="8" spans="1:7" ht="51.75" customHeight="1" x14ac:dyDescent="0.2">
      <c r="A8" s="32" t="s">
        <v>103</v>
      </c>
      <c r="B8" s="32" t="s">
        <v>490</v>
      </c>
      <c r="C8" s="32" t="s">
        <v>113</v>
      </c>
      <c r="D8" s="32" t="s">
        <v>491</v>
      </c>
      <c r="E8" s="32" t="s">
        <v>492</v>
      </c>
      <c r="F8" s="32" t="s">
        <v>493</v>
      </c>
      <c r="G8" s="32" t="s">
        <v>494</v>
      </c>
    </row>
    <row r="9" spans="1:7" ht="51.75" customHeight="1" x14ac:dyDescent="0.2">
      <c r="A9" s="30" t="s">
        <v>185</v>
      </c>
      <c r="B9" s="30" t="s">
        <v>495</v>
      </c>
      <c r="C9" s="30" t="s">
        <v>113</v>
      </c>
      <c r="D9" s="30" t="s">
        <v>496</v>
      </c>
      <c r="E9" s="30" t="s">
        <v>497</v>
      </c>
      <c r="F9" s="30" t="s">
        <v>498</v>
      </c>
      <c r="G9" s="30" t="s">
        <v>499</v>
      </c>
    </row>
    <row r="10" spans="1:7" ht="51.75" customHeight="1" x14ac:dyDescent="0.2">
      <c r="A10" s="32" t="s">
        <v>153</v>
      </c>
      <c r="B10" s="32" t="s">
        <v>500</v>
      </c>
      <c r="C10" s="32" t="s">
        <v>113</v>
      </c>
      <c r="D10" s="32" t="s">
        <v>501</v>
      </c>
      <c r="E10" s="32" t="s">
        <v>502</v>
      </c>
      <c r="F10" s="32" t="s">
        <v>503</v>
      </c>
      <c r="G10" s="32" t="s">
        <v>504</v>
      </c>
    </row>
    <row r="11" spans="1:7" ht="51.75" customHeight="1" x14ac:dyDescent="0.2">
      <c r="A11" s="30" t="s">
        <v>407</v>
      </c>
      <c r="B11" s="30" t="s">
        <v>505</v>
      </c>
      <c r="C11" s="30" t="s">
        <v>128</v>
      </c>
      <c r="D11" s="30" t="s">
        <v>506</v>
      </c>
      <c r="E11" s="30" t="s">
        <v>507</v>
      </c>
      <c r="F11" s="30" t="s">
        <v>508</v>
      </c>
      <c r="G11" s="30" t="s">
        <v>509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Fossil_Shares</vt:lpstr>
      <vt:lpstr>Facilities</vt:lpstr>
      <vt:lpstr>EU_Benchmark_Verify</vt:lpstr>
      <vt:lpstr>Source_Type_Guide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Anna Yuen</cp:lastModifiedBy>
  <cp:revision>0</cp:revision>
  <dcterms:created xsi:type="dcterms:W3CDTF">2026-06-25T20:00:50Z</dcterms:created>
  <dcterms:modified xsi:type="dcterms:W3CDTF">2026-06-26T16:33:53Z</dcterms:modified>
  <dc:language>en-US</dc:language>
</cp:coreProperties>
</file>